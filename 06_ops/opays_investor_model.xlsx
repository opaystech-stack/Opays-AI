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EADME" sheetId="2" state="visible" r:id="rId2"/>
    <sheet name="Assumptions" sheetId="3" state="visible" r:id="rId3"/>
    <sheet name="Offers" sheetId="4" state="visible" r:id="rId4"/>
    <sheet name="GTM" sheetId="5" state="visible" r:id="rId5"/>
    <sheet name="Revenue_Model" sheetId="6" state="visible" r:id="rId6"/>
    <sheet name="Expenses" sheetId="7" state="visible" r:id="rId7"/>
    <sheet name="P&amp;L" sheetId="8" state="visible" r:id="rId8"/>
    <sheet name="Cashflow" sheetId="9" state="visible" r:id="rId9"/>
    <sheet name="Funding" sheetId="10" state="visible" r:id="rId10"/>
    <sheet name="Scenarios" sheetId="11" state="visible" r:id="rId11"/>
    <sheet name="Risks_QA" sheetId="12" state="visible" r:id="rId12"/>
    <sheet name="Sources" sheetId="13" state="visible" r:id="rId13"/>
    <sheet name="Operations" sheetId="14" state="visible" r:id="rId14"/>
    <sheet name="Capacity" sheetId="15" state="visible" r:id="rId15"/>
    <sheet name="Delivery" sheetId="16" state="visible" r:id="rId16"/>
    <sheet name="Cadence" sheetId="17" state="visible" r:id="rId17"/>
    <sheet name="SOPs" sheetId="18" state="visible" r:id="rId18"/>
    <sheet name="Team" sheetId="19" state="visible" r:id="rId19"/>
    <sheet name="Pipeline" sheetId="20" state="visible" r:id="rId20"/>
    <sheet name="90_Day_Plan" sheetId="21" state="visible" r:id="rId21"/>
    <sheet name="Pitch_Outline" sheetId="22" state="visible" r:id="rId22"/>
    <sheet name="Investor_QA" sheetId="23" state="visible" r:id="rId23"/>
  </sheets>
  <definedNames/>
  <calcPr calcId="124519" calcMode="auto" fullCalcOnLoad="1" forceFullCalc="1"/>
</workbook>
</file>

<file path=xl/styles.xml><?xml version="1.0" encoding="utf-8"?>
<styleSheet xmlns="http://schemas.openxmlformats.org/spreadsheetml/2006/main">
  <numFmts count="2">
    <numFmt numFmtId="164" formatCode="yyyy-mm-dd"/>
    <numFmt numFmtId="165" formatCode="0.0%"/>
  </numFmts>
  <fonts count="6">
    <font>
      <name val="Calibri"/>
      <family val="2"/>
      <color theme="1"/>
      <sz val="11"/>
      <scheme val="minor"/>
    </font>
    <font>
      <b val="1"/>
      <color rgb="000F172A"/>
      <sz val="16"/>
    </font>
    <font>
      <i val="1"/>
      <color rgb="00334155"/>
    </font>
    <font>
      <b val="1"/>
    </font>
    <font>
      <b val="1"/>
      <color rgb="00FFFFFF"/>
    </font>
    <font/>
  </fonts>
  <fills count="5">
    <fill>
      <patternFill/>
    </fill>
    <fill>
      <patternFill patternType="gray125"/>
    </fill>
    <fill>
      <patternFill patternType="solid">
        <fgColor rgb="00E2E8F0"/>
      </patternFill>
    </fill>
    <fill>
      <patternFill patternType="solid">
        <fgColor rgb="00DBEAFE"/>
      </patternFill>
    </fill>
    <fill>
      <patternFill patternType="solid">
        <fgColor rgb="000F172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40" fontId="0" fillId="0" borderId="0" pivotButton="0" quotePrefix="0" xfId="0"/>
    <xf numFmtId="0" fontId="0" fillId="0" borderId="0" applyAlignment="1" pivotButton="0" quotePrefix="0" xfId="0">
      <alignment wrapText="1"/>
    </xf>
    <xf numFmtId="165" fontId="0" fillId="0" borderId="0" pivotButton="0" quotePrefix="0" xfId="0"/>
    <xf numFmtId="3" fontId="0" fillId="0" borderId="0" pivotButton="0" quotePrefix="0" xfId="0"/>
    <xf numFmtId="0" fontId="0" fillId="0" borderId="0" applyAlignment="1" pivotButton="0" quotePrefix="0" xfId="0">
      <alignment vertical="top" wrapText="1"/>
    </xf>
    <xf numFmtId="0" fontId="3" fillId="2" borderId="1" pivotButton="0" quotePrefix="0" xfId="0"/>
    <xf numFmtId="0" fontId="0" fillId="0" borderId="1" pivotButton="0" quotePrefix="0" xfId="0"/>
    <xf numFmtId="164" fontId="0" fillId="0" borderId="1" pivotButton="0" quotePrefix="0" xfId="0"/>
    <xf numFmtId="165" fontId="0" fillId="0" borderId="1" pivotButton="0" quotePrefix="0" xfId="0"/>
    <xf numFmtId="40" fontId="0" fillId="0" borderId="1" pivotButton="0" quotePrefix="0" xfId="0"/>
    <xf numFmtId="0" fontId="3" fillId="3" borderId="0" pivotButton="0" quotePrefix="0" xfId="0"/>
    <xf numFmtId="0" fontId="4" fillId="4" borderId="1" applyAlignment="1" pivotButton="0" quotePrefix="0" xfId="0">
      <alignment horizontal="center" vertical="center"/>
    </xf>
    <xf numFmtId="0" fontId="3" fillId="0" borderId="0" applyAlignment="1" pivotButton="0" quotePrefix="0" xfId="0">
      <alignment wrapText="1"/>
    </xf>
    <xf numFmtId="0" fontId="5" fillId="0" borderId="0" pivotButton="0" quotePrefix="0" xfId="0"/>
    <xf numFmtId="0" fontId="5" fillId="0" borderId="0" applyAlignment="1" pivotButton="0" quotePrefix="0" xfId="0">
      <alignment vertical="top" wrapText="1"/>
    </xf>
    <xf numFmtId="0" fontId="5" fillId="4" borderId="1" applyAlignment="1" pivotButton="0" quotePrefix="0" xfId="0">
      <alignment horizontal="center" vertical="center"/>
    </xf>
    <xf numFmtId="165" fontId="0" fillId="0" borderId="0" applyAlignment="1" pivotButton="0" quotePrefix="0" xfId="0">
      <alignment vertical="top" wrapText="1"/>
    </xf>
    <xf numFmtId="4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harts/chart1.xml><?xml version="1.0" encoding="utf-8"?>
<chartSpace xmlns:a="http://schemas.openxmlformats.org/drawingml/2006/main" xmlns="http://schemas.openxmlformats.org/drawingml/2006/chart">
  <chart>
    <title>
      <tx>
        <rich>
          <a:bodyPr/>
          <a:p>
            <a:pPr>
              <a:defRPr/>
            </a:pPr>
            <a:r>
              <a:t>Chiffre d'affaires / EBITDA / Tresorerie</a:t>
            </a:r>
          </a:p>
        </rich>
      </tx>
    </title>
    <plotArea>
      <lineChart>
        <grouping val="standard"/>
        <ser>
          <idx val="0"/>
          <order val="0"/>
          <spPr>
            <a:ln>
              <a:prstDash val="solid"/>
            </a:ln>
          </spPr>
          <marker>
            <symbol val="none"/>
            <spPr>
              <a:ln>
                <a:prstDash val="solid"/>
              </a:ln>
            </spPr>
          </marker>
          <cat>
            <numRef>
              <f>'P&amp;L'!$B$4:$AK$4</f>
            </numRef>
          </cat>
          <val>
            <numRef>
              <f>'P&amp;L'!$B$6:$AK$6</f>
            </numRef>
          </val>
        </ser>
        <ser>
          <idx val="1"/>
          <order val="1"/>
          <spPr>
            <a:ln>
              <a:prstDash val="solid"/>
            </a:ln>
          </spPr>
          <marker>
            <symbol val="none"/>
            <spPr>
              <a:ln>
                <a:prstDash val="solid"/>
              </a:ln>
            </spPr>
          </marker>
          <cat>
            <numRef>
              <f>'P&amp;L'!$B$4:$AK$4</f>
            </numRef>
          </cat>
          <val>
            <numRef>
              <f>'P&amp;L'!$B$7:$AK$7</f>
            </numRef>
          </val>
        </ser>
        <ser>
          <idx val="2"/>
          <order val="2"/>
          <spPr>
            <a:ln>
              <a:prstDash val="solid"/>
            </a:ln>
          </spPr>
          <marker>
            <symbol val="none"/>
            <spPr>
              <a:ln>
                <a:prstDash val="solid"/>
              </a:ln>
            </spPr>
          </marker>
          <cat>
            <numRef>
              <f>'P&amp;L'!$B$4:$AK$4</f>
            </numRef>
          </cat>
          <val>
            <numRef>
              <f>'P&amp;L'!$B$8:$AK$8</f>
            </numRef>
          </val>
        </ser>
        <ser>
          <idx val="3"/>
          <order val="3"/>
          <spPr>
            <a:ln>
              <a:prstDash val="solid"/>
            </a:ln>
          </spPr>
          <marker>
            <symbol val="none"/>
            <spPr>
              <a:ln>
                <a:prstDash val="solid"/>
              </a:ln>
            </spPr>
          </marker>
          <cat>
            <numRef>
              <f>'P&amp;L'!$B$4:$AK$4</f>
            </numRef>
          </cat>
          <val>
            <numRef>
              <f>'P&amp;L'!$B$9:$AK$9</f>
            </numRef>
          </val>
        </ser>
        <ser>
          <idx val="4"/>
          <order val="4"/>
          <spPr>
            <a:ln>
              <a:prstDash val="solid"/>
            </a:ln>
          </spPr>
          <marker>
            <symbol val="none"/>
            <spPr>
              <a:ln>
                <a:prstDash val="solid"/>
              </a:ln>
            </spPr>
          </marker>
          <cat>
            <numRef>
              <f>'P&amp;L'!$B$4:$AK$4</f>
            </numRef>
          </cat>
          <val>
            <numRef>
              <f>'P&amp;L'!$B$10:$AK$10</f>
            </numRef>
          </val>
        </ser>
        <ser>
          <idx val="5"/>
          <order val="5"/>
          <spPr>
            <a:ln>
              <a:prstDash val="solid"/>
            </a:ln>
          </spPr>
          <marker>
            <symbol val="none"/>
            <spPr>
              <a:ln>
                <a:prstDash val="solid"/>
              </a:ln>
            </spPr>
          </marker>
          <cat>
            <numRef>
              <f>'P&amp;L'!$B$4:$AK$4</f>
            </numRef>
          </cat>
          <val>
            <numRef>
              <f>'P&amp;L'!$B$11:$AK$11</f>
            </numRef>
          </val>
        </ser>
        <axId val="10"/>
        <axId val="100"/>
      </lineChart>
      <catAx>
        <axId val="10"/>
        <scaling>
          <orientation val="minMax"/>
        </scaling>
        <axPos val="l"/>
        <title>
          <tx>
            <rich>
              <a:bodyPr/>
              <a:p>
                <a:pPr>
                  <a:defRPr/>
                </a:pPr>
                <a:r>
                  <a:t>Mois</a:t>
                </a:r>
              </a:p>
            </rich>
          </tx>
        </title>
        <majorTickMark val="none"/>
        <minorTickMark val="none"/>
        <crossAx val="100"/>
        <lblOffset val="100"/>
      </catAx>
      <valAx>
        <axId val="100"/>
        <scaling>
          <orientation val="minMax"/>
        </scaling>
        <axPos val="l"/>
        <majorGridlines/>
        <title>
          <tx>
            <rich>
              <a:bodyPr/>
              <a:p>
                <a:pPr>
                  <a:defRPr/>
                </a:pPr>
                <a:r>
                  <a:t>ZAR</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Chiffre d'affaires annuel</a:t>
            </a:r>
          </a:p>
        </rich>
      </tx>
    </title>
    <plotArea>
      <barChart>
        <barDir val="col"/>
        <grouping val="clustered"/>
        <ser>
          <idx val="0"/>
          <order val="0"/>
          <spPr>
            <a:ln>
              <a:prstDash val="solid"/>
            </a:ln>
          </spPr>
          <cat>
            <numRef>
              <f>'Scenarios'!$A$5:$A$7</f>
            </numRef>
          </cat>
          <val>
            <numRef>
              <f>'Scenarios'!$B$5:$B$7</f>
            </numRef>
          </val>
        </ser>
        <ser>
          <idx val="1"/>
          <order val="1"/>
          <spPr>
            <a:ln>
              <a:prstDash val="solid"/>
            </a:ln>
          </spPr>
          <cat>
            <numRef>
              <f>'Scenarios'!$A$5:$A$7</f>
            </numRef>
          </cat>
          <val>
            <numRef>
              <f>'Scenarios'!$C$5:$C$7</f>
            </numRef>
          </val>
        </ser>
        <ser>
          <idx val="2"/>
          <order val="2"/>
          <spPr>
            <a:ln>
              <a:prstDash val="solid"/>
            </a:ln>
          </spPr>
          <cat>
            <numRef>
              <f>'Scenarios'!$A$5:$A$7</f>
            </numRef>
          </cat>
          <val>
            <numRef>
              <f>'Scenarios'!$D$5:$D$7</f>
            </numRef>
          </val>
        </ser>
        <gapWidth val="150"/>
        <axId val="10"/>
        <axId val="100"/>
      </barChart>
      <catAx>
        <axId val="10"/>
        <scaling>
          <orientation val="minMax"/>
        </scaling>
        <axPos val="l"/>
        <title>
          <tx>
            <rich>
              <a:bodyPr/>
              <a:p>
                <a:pPr>
                  <a:defRPr/>
                </a:pPr>
                <a:r>
                  <a:t>Annee</a:t>
                </a:r>
              </a:p>
            </rich>
          </tx>
        </title>
        <majorTickMark val="none"/>
        <minorTickMark val="none"/>
        <crossAx val="100"/>
        <lblOffset val="100"/>
      </catAx>
      <valAx>
        <axId val="100"/>
        <scaling>
          <orientation val="minMax"/>
        </scaling>
        <axPos val="l"/>
        <majorGridlines/>
        <title>
          <tx>
            <rich>
              <a:bodyPr/>
              <a:p>
                <a:pPr>
                  <a:defRPr/>
                </a:pPr>
                <a:r>
                  <a:t>ZAR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11</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31</row>
      <rowOff>0</rowOff>
    </from>
    <ext cx="504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28" customWidth="1" min="1" max="1"/>
    <col width="18" customWidth="1" min="2" max="2"/>
    <col width="42" customWidth="1" min="4" max="4"/>
  </cols>
  <sheetData>
    <row r="1">
      <c r="A1" s="1" t="inlineStr">
        <is>
          <t>Tableau de Bord Synthese</t>
        </is>
      </c>
    </row>
    <row r="2">
      <c r="A2" s="2" t="inlineStr">
        <is>
          <t>Synthese en une page pour les investisseurs et partenaires : chiffres cles, trajectoire et principes de base.</t>
        </is>
      </c>
    </row>
    <row r="3"/>
    <row r="4">
      <c r="A4" s="3" t="inlineStr">
        <is>
          <t>Chiffre d'affaires annee 1</t>
        </is>
      </c>
      <c r="B4" s="4" t="n">
        <v>1793550</v>
      </c>
      <c r="D4" s="5" t="inlineStr">
        <is>
          <t>Synthese executive</t>
        </is>
      </c>
    </row>
    <row r="5">
      <c r="A5" s="3" t="inlineStr">
        <is>
          <t>Marge brute annee 1</t>
        </is>
      </c>
      <c r="B5" s="6" t="n">
        <v>0.6946307602241365</v>
      </c>
      <c r="D5" s="5" t="inlineStr">
        <is>
          <t>Forge est notre moteur de cash immediat.</t>
        </is>
      </c>
    </row>
    <row r="6">
      <c r="A6" s="3" t="inlineStr">
        <is>
          <t>EBITDA annee 1</t>
        </is>
      </c>
      <c r="B6" s="4" t="n">
        <v>309855</v>
      </c>
      <c r="D6" s="5" t="inlineStr">
        <is>
          <t>Sovereign est notre developpement technologique strategique.</t>
        </is>
      </c>
    </row>
    <row r="7">
      <c r="A7" s="3" t="inlineStr">
        <is>
          <t>Mois d'equilibre (Break-even)</t>
        </is>
      </c>
      <c r="B7" s="7" t="n">
        <v>4</v>
      </c>
      <c r="D7" s="5" t="inlineStr">
        <is>
          <t>Le modele est conçu pour etre commando (lean) puis scalable.</t>
        </is>
      </c>
    </row>
    <row r="8">
      <c r="A8" s="3" t="inlineStr">
        <is>
          <t>CA mensuel cible (Mois 36)</t>
        </is>
      </c>
      <c r="B8" s="7" t="n">
        <v>531625</v>
      </c>
      <c r="D8" s="8" t="inlineStr">
        <is>
          <t>Les tarifs sont en ZAR, la TVA est exclue des marges de profit.</t>
        </is>
      </c>
    </row>
    <row r="9">
      <c r="A9" s="3" t="inlineStr">
        <is>
          <t>Tresorerie finale (Mois 36)</t>
        </is>
      </c>
      <c r="B9" s="7" t="n">
        <v>4131725</v>
      </c>
      <c r="D9" s="5" t="inlineStr">
        <is>
          <t>L'impot sur les societes (IS) est modelise a 27%.</t>
        </is>
      </c>
    </row>
    <row r="10">
      <c r="D10" s="8" t="inlineStr">
        <is>
          <t>Message cle : Opays Tech est un systeme d'exploitation d'efficience au service des clients.</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34"/>
  <sheetViews>
    <sheetView showGridLines="0" workbookViewId="0">
      <selection activeCell="A1" sqref="A1"/>
    </sheetView>
  </sheetViews>
  <sheetFormatPr baseColWidth="8" defaultRowHeight="15"/>
  <cols>
    <col width="120" customWidth="1" min="1" max="1"/>
  </cols>
  <sheetData>
    <row r="1">
      <c r="A1" s="1" t="inlineStr">
        <is>
          <t>Classeur Investisseur Opays Tech</t>
        </is>
      </c>
    </row>
    <row r="2">
      <c r="A2" s="2" t="inlineStr">
        <is>
          <t>Un outil unique regroupant la strategie, le modele financier, la gestion des risques et la preparation operationnelle.</t>
        </is>
      </c>
    </row>
    <row r="3"/>
    <row r="4">
      <c r="A4" s="8" t="inlineStr">
        <is>
          <t>• Objectif : Structurer le developpement d'Opays Tech en un modele operationnel et financier robuste, sans surevaluation.</t>
        </is>
      </c>
    </row>
    <row r="5">
      <c r="A5" s="8" t="inlineStr">
        <is>
          <t>• Narratif : Forge = moteur de cash, Sovereign = developpement d'actifs et R&amp;D, le tout pilote par un systeme d'exploitation lean.</t>
        </is>
      </c>
    </row>
    <row r="6">
      <c r="A6" t="inlineStr">
        <is>
          <t>• Devise : Rand sud-africain (ZAR).</t>
        </is>
      </c>
    </row>
    <row r="7">
      <c r="A7" s="8" t="inlineStr">
        <is>
          <t>• Remarque fiscale importante : Le modele applique de maniere prudente les regles fiscales standards et comptabilise la TVA separement.</t>
        </is>
      </c>
    </row>
    <row r="8">
      <c r="A8" s="8" t="inlineStr">
        <is>
          <t>• Utilisation : Consultez d'abord le Tableau de bord, puis les Hypotheses, puis les details financiers et operationnels pour la livraison.</t>
        </is>
      </c>
    </row>
    <row r="9"/>
    <row r="10"/>
    <row r="11">
      <c r="A11" t="inlineStr">
        <is>
          <t>Onglets inclus dans ce classeur :</t>
        </is>
      </c>
    </row>
    <row r="12">
      <c r="A12" t="inlineStr">
        <is>
          <t>- Dashboard</t>
        </is>
      </c>
    </row>
    <row r="13">
      <c r="A13" t="inlineStr">
        <is>
          <t>- Assumptions</t>
        </is>
      </c>
    </row>
    <row r="14">
      <c r="A14" t="inlineStr">
        <is>
          <t>- Offers</t>
        </is>
      </c>
    </row>
    <row r="15">
      <c r="A15" t="inlineStr">
        <is>
          <t>- GTM</t>
        </is>
      </c>
    </row>
    <row r="16">
      <c r="A16" t="inlineStr">
        <is>
          <t>- Revenue_Model</t>
        </is>
      </c>
    </row>
    <row r="17">
      <c r="A17" t="inlineStr">
        <is>
          <t>- Expenses</t>
        </is>
      </c>
    </row>
    <row r="18">
      <c r="A18" t="inlineStr">
        <is>
          <t>- P&amp;L</t>
        </is>
      </c>
    </row>
    <row r="19">
      <c r="A19" t="inlineStr">
        <is>
          <t>- Cashflow</t>
        </is>
      </c>
    </row>
    <row r="20">
      <c r="A20" t="inlineStr">
        <is>
          <t>- Funding</t>
        </is>
      </c>
    </row>
    <row r="21">
      <c r="A21" t="inlineStr">
        <is>
          <t>- Scenarios</t>
        </is>
      </c>
    </row>
    <row r="22">
      <c r="A22" t="inlineStr">
        <is>
          <t>- Risks_QA</t>
        </is>
      </c>
    </row>
    <row r="23">
      <c r="A23" t="inlineStr">
        <is>
          <t>- Sources</t>
        </is>
      </c>
    </row>
    <row r="24">
      <c r="A24" t="inlineStr">
        <is>
          <t>Onglets de gestion operationnelle add-on :</t>
        </is>
      </c>
    </row>
    <row r="25">
      <c r="A25" t="inlineStr">
        <is>
          <t>- Operations</t>
        </is>
      </c>
    </row>
    <row r="26">
      <c r="A26" t="inlineStr">
        <is>
          <t>- Capacity</t>
        </is>
      </c>
    </row>
    <row r="27">
      <c r="A27" t="inlineStr">
        <is>
          <t>- Delivery</t>
        </is>
      </c>
    </row>
    <row r="28">
      <c r="A28" t="inlineStr">
        <is>
          <t>- Cadence</t>
        </is>
      </c>
    </row>
    <row r="29">
      <c r="A29" t="inlineStr">
        <is>
          <t>- SOPs</t>
        </is>
      </c>
    </row>
    <row r="30">
      <c r="A30" t="inlineStr">
        <is>
          <t>- Team</t>
        </is>
      </c>
    </row>
    <row r="31">
      <c r="A31" t="inlineStr">
        <is>
          <t>- Pipeline</t>
        </is>
      </c>
    </row>
    <row r="32">
      <c r="A32" t="inlineStr">
        <is>
          <t>- 90_Day_Plan</t>
        </is>
      </c>
    </row>
    <row r="33">
      <c r="A33" t="inlineStr">
        <is>
          <t>- Pitch_Outline</t>
        </is>
      </c>
    </row>
    <row r="34">
      <c r="A34" t="inlineStr">
        <is>
          <t>- Investor_QA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8"/>
  <sheetViews>
    <sheetView showGridLines="0" workbookViewId="0">
      <selection activeCell="A1" sqref="A1"/>
    </sheetView>
  </sheetViews>
  <sheetFormatPr baseColWidth="8" defaultRowHeight="15"/>
  <cols>
    <col width="38" customWidth="1" min="1" max="1"/>
    <col width="18" customWidth="1" min="2" max="2"/>
    <col width="18" customWidth="1" min="3" max="3"/>
    <col width="18" customWidth="1" min="4" max="4"/>
    <col width="56" customWidth="1" min="5" max="5"/>
    <col width="20" customWidth="1" min="6" max="6"/>
    <col width="20" customWidth="1" min="7" max="7"/>
  </cols>
  <sheetData>
    <row r="1">
      <c r="A1" s="1" t="inlineStr">
        <is>
          <t>Hypotheses generales</t>
        </is>
      </c>
    </row>
    <row r="2">
      <c r="A2" s="2" t="inlineStr">
        <is>
          <t>Entrees modifiables. Ajustez ces valeurs pour adapter ou localiser le modele.</t>
        </is>
      </c>
    </row>
    <row r="3"/>
    <row r="4">
      <c r="A4" s="9" t="inlineStr">
        <is>
          <t>Devise de reference</t>
        </is>
      </c>
      <c r="B4" s="10" t="inlineStr">
        <is>
          <t>ZAR</t>
        </is>
      </c>
    </row>
    <row r="5">
      <c r="A5" s="9" t="inlineStr">
        <is>
          <t>Debut des previsions</t>
        </is>
      </c>
      <c r="B5" s="11" t="n">
        <v>46174</v>
      </c>
    </row>
    <row r="6">
      <c r="A6" s="9" t="inlineStr">
        <is>
          <t>Duree des previsions (mois)</t>
        </is>
      </c>
      <c r="B6" s="10" t="n">
        <v>36</v>
      </c>
    </row>
    <row r="7">
      <c r="A7" s="9" t="inlineStr">
        <is>
          <t>Taux de TVA</t>
        </is>
      </c>
      <c r="B7" s="12" t="n">
        <v>0.15</v>
      </c>
    </row>
    <row r="8">
      <c r="A8" s="9" t="inlineStr">
        <is>
          <t>Taux d'impot sur les societes</t>
        </is>
      </c>
      <c r="B8" s="12" t="n">
        <v>0.27</v>
      </c>
    </row>
    <row r="9">
      <c r="A9" s="9" t="inlineStr">
        <is>
          <t>Tresorerie initiale</t>
        </is>
      </c>
      <c r="B9" s="13" t="n">
        <v>250000</v>
      </c>
    </row>
    <row r="10">
      <c r="A10" s="9" t="inlineStr">
        <is>
          <t>Cible de financement recommandee (Seed)</t>
        </is>
      </c>
      <c r="B10" s="13" t="n">
        <v>1200000</v>
      </c>
    </row>
    <row r="11">
      <c r="A11" s="9" t="inlineStr">
        <is>
          <t>Investissement initial (Mois 1)</t>
        </is>
      </c>
      <c r="B11" s="13" t="n">
        <v>60000</v>
      </c>
    </row>
    <row r="12"/>
    <row r="13">
      <c r="A13" s="14" t="inlineStr">
        <is>
          <t>Modele des Offres</t>
        </is>
      </c>
    </row>
    <row r="14">
      <c r="A14" s="15" t="inlineStr">
        <is>
          <t>Offre</t>
        </is>
      </c>
      <c r="B14" s="15" t="inlineStr">
        <is>
          <t>Tarif (ZAR)</t>
        </is>
      </c>
      <c r="C14" s="15" t="inlineStr">
        <is>
          <t>Cout direct</t>
        </is>
      </c>
      <c r="D14" s="15" t="inlineStr">
        <is>
          <t>Marge brute</t>
        </is>
      </c>
      <c r="E14" s="15" t="inlineStr">
        <is>
          <t>Remarques</t>
        </is>
      </c>
    </row>
    <row r="15">
      <c r="A15" t="inlineStr">
        <is>
          <t>Audit / Diagnostic</t>
        </is>
      </c>
      <c r="B15" s="4" t="n">
        <v>25000</v>
      </c>
      <c r="C15" s="6" t="n">
        <v>0.15</v>
      </c>
      <c r="D15" s="6">
        <f>1-C15</f>
        <v/>
      </c>
      <c r="E15" s="8" t="inlineStr">
        <is>
          <t>Offre d'entree pour identifier le ROI et les goulots d'etranglement.</t>
        </is>
      </c>
    </row>
    <row r="16">
      <c r="A16" t="inlineStr">
        <is>
          <t>Sprint d'Efficience</t>
        </is>
      </c>
      <c r="B16" s="4" t="n">
        <v>75000</v>
      </c>
      <c r="C16" s="6" t="n">
        <v>0.3</v>
      </c>
      <c r="D16" s="6">
        <f>1-C16</f>
        <v/>
      </c>
      <c r="E16" t="inlineStr">
        <is>
          <t>Sprint court d'implementation, generalement 2-4 semaines.</t>
        </is>
      </c>
    </row>
    <row r="17">
      <c r="A17" t="inlineStr">
        <is>
          <t>Projet d'Implementation</t>
        </is>
      </c>
      <c r="B17" s="4" t="n">
        <v>180000</v>
      </c>
      <c r="C17" s="6" t="n">
        <v>0.45</v>
      </c>
      <c r="D17" s="6">
        <f>1-C17</f>
        <v/>
      </c>
      <c r="E17" s="8" t="inlineStr">
        <is>
          <t>Execution a haute valeur sur un flux de travail ou systeme client.</t>
        </is>
      </c>
    </row>
    <row r="18">
      <c r="A18" t="inlineStr">
        <is>
          <t>Forge Retainer (Accompagnement)</t>
        </is>
      </c>
      <c r="B18" s="4" t="n">
        <v>30000</v>
      </c>
      <c r="C18" s="6" t="n">
        <v>0.2</v>
      </c>
      <c r="D18" s="6">
        <f>1-C18</f>
        <v/>
      </c>
      <c r="E18" t="inlineStr">
        <is>
          <t>Optimisation recurrente et support operationnel continu.</t>
        </is>
      </c>
    </row>
    <row r="19">
      <c r="A19" t="inlineStr">
        <is>
          <t>Sovereign Retainer (R&amp;D)</t>
        </is>
      </c>
      <c r="B19" s="4" t="n">
        <v>45000</v>
      </c>
      <c r="C19" s="6" t="n">
        <v>0.5</v>
      </c>
      <c r="D19" s="6">
        <f>1-C19</f>
        <v/>
      </c>
      <c r="E19" t="inlineStr">
        <is>
          <t>Travaux de R&amp;D, d'autonomie et de resilience strategique.</t>
        </is>
      </c>
    </row>
    <row r="20">
      <c r="A20" t="inlineStr">
        <is>
          <t>Dossier Sovereign</t>
        </is>
      </c>
      <c r="B20" s="4" t="n">
        <v>120000</v>
      </c>
      <c r="C20" s="6" t="n">
        <v>0.5</v>
      </c>
      <c r="D20" s="6">
        <f>1-C20</f>
        <v/>
      </c>
      <c r="E20" s="8" t="inlineStr">
        <is>
          <t>Recherche strategique ponctuelle, note de synthese ou feuille de route.</t>
        </is>
      </c>
    </row>
    <row r="21"/>
    <row r="22"/>
    <row r="23">
      <c r="A23" s="14" t="inlineStr">
        <is>
          <t>Facteurs de croissance</t>
        </is>
      </c>
    </row>
    <row r="24">
      <c r="A24" s="15" t="inlineStr">
        <is>
          <t>Offre</t>
        </is>
      </c>
      <c r="B24" s="15" t="inlineStr">
        <is>
          <t>Unites initiales</t>
        </is>
      </c>
      <c r="C24" s="15" t="inlineStr">
        <is>
          <t>Croissance mensuelle</t>
        </is>
      </c>
      <c r="D24" s="15" t="inlineStr">
        <is>
          <t>Plafond</t>
        </is>
      </c>
    </row>
    <row r="25">
      <c r="A25" t="inlineStr">
        <is>
          <t>Audit / Diagnostic</t>
        </is>
      </c>
      <c r="B25" t="n">
        <v>1</v>
      </c>
      <c r="C25" s="6" t="n">
        <v>0.06</v>
      </c>
      <c r="D25" t="n">
        <v>3.5</v>
      </c>
    </row>
    <row r="26">
      <c r="A26" t="inlineStr">
        <is>
          <t>Sprint d'Efficience</t>
        </is>
      </c>
      <c r="B26" t="n">
        <v>0.3</v>
      </c>
      <c r="C26" s="6" t="n">
        <v>0.025</v>
      </c>
      <c r="D26" t="n">
        <v>1.4</v>
      </c>
    </row>
    <row r="27">
      <c r="A27" t="inlineStr">
        <is>
          <t>Projet d'Implementation</t>
        </is>
      </c>
      <c r="B27" t="n">
        <v>0.05</v>
      </c>
      <c r="C27" s="6" t="n">
        <v>0.02</v>
      </c>
      <c r="D27" t="n">
        <v>0.85</v>
      </c>
    </row>
    <row r="28">
      <c r="A28" t="inlineStr">
        <is>
          <t>Forge Retainer (Accompagnement)</t>
        </is>
      </c>
      <c r="B28" t="n">
        <v>0.5</v>
      </c>
      <c r="C28" s="6" t="n">
        <v>0.1</v>
      </c>
      <c r="D28" t="n">
        <v>4</v>
      </c>
    </row>
    <row r="29">
      <c r="A29" t="inlineStr">
        <is>
          <t>Sovereign Retainer (R&amp;D)</t>
        </is>
      </c>
      <c r="B29" t="n">
        <v>0</v>
      </c>
      <c r="C29" s="6" t="n">
        <v>0.04</v>
      </c>
      <c r="D29" t="n">
        <v>1.8</v>
      </c>
    </row>
    <row r="30">
      <c r="A30" t="inlineStr">
        <is>
          <t>Dossier Sovereign</t>
        </is>
      </c>
      <c r="B30" t="n">
        <v>0</v>
      </c>
      <c r="C30" s="6" t="n">
        <v>0.02</v>
      </c>
      <c r="D30" t="n">
        <v>0.4</v>
      </c>
    </row>
    <row r="31"/>
    <row r="32"/>
    <row r="33">
      <c r="A33" s="14" t="inlineStr">
        <is>
          <t>Phases d'Opex fixes</t>
        </is>
      </c>
    </row>
    <row r="34">
      <c r="A34" s="15" t="inlineStr">
        <is>
          <t>Categorie d'Opex</t>
        </is>
      </c>
      <c r="B34" s="15" t="inlineStr">
        <is>
          <t>Mois 1-12</t>
        </is>
      </c>
      <c r="C34" s="15" t="inlineStr">
        <is>
          <t>Mois 13-24</t>
        </is>
      </c>
      <c r="D34" s="15" t="inlineStr">
        <is>
          <t>Mois 25-36</t>
        </is>
      </c>
    </row>
    <row r="35">
      <c r="A35" t="inlineStr">
        <is>
          <t>Remuneration Fondateur / CEO</t>
        </is>
      </c>
      <c r="B35" s="4" t="n">
        <v>30000</v>
      </c>
      <c r="C35" s="4" t="n">
        <v>33000</v>
      </c>
      <c r="D35" s="4" t="n">
        <v>36000</v>
      </c>
    </row>
    <row r="36">
      <c r="A36" t="inlineStr">
        <is>
          <t>Support Operations &amp; Gestion</t>
        </is>
      </c>
      <c r="B36" s="4" t="n">
        <v>10000</v>
      </c>
      <c r="C36" s="4" t="n">
        <v>12000</v>
      </c>
      <c r="D36" s="4" t="n">
        <v>14000</v>
      </c>
    </row>
    <row r="37">
      <c r="A37" t="inlineStr">
        <is>
          <t>Marketing &amp; Contenu</t>
        </is>
      </c>
      <c r="B37" s="4" t="n">
        <v>10000</v>
      </c>
      <c r="C37" s="4" t="n">
        <v>12000</v>
      </c>
      <c r="D37" s="4" t="n">
        <v>16000</v>
      </c>
    </row>
    <row r="38">
      <c r="A38" t="inlineStr">
        <is>
          <t>Outils SaaS &amp; Logiciels</t>
        </is>
      </c>
      <c r="B38" s="4" t="n">
        <v>5000</v>
      </c>
      <c r="C38" s="4" t="n">
        <v>6000</v>
      </c>
      <c r="D38" s="4" t="n">
        <v>7000</v>
      </c>
    </row>
    <row r="39">
      <c r="A39" t="inlineStr">
        <is>
          <t>Deplacements &amp; Livraison client</t>
        </is>
      </c>
      <c r="B39" s="4" t="n">
        <v>6000</v>
      </c>
      <c r="C39" s="4" t="n">
        <v>7000</v>
      </c>
      <c r="D39" s="4" t="n">
        <v>8000</v>
      </c>
    </row>
    <row r="40">
      <c r="A40" t="inlineStr">
        <is>
          <t>Frais Juridiques, Comptables &amp; Conformite</t>
        </is>
      </c>
      <c r="B40" s="4" t="n">
        <v>4500</v>
      </c>
      <c r="C40" s="4" t="n">
        <v>5000</v>
      </c>
      <c r="D40" s="4" t="n">
        <v>6000</v>
      </c>
    </row>
    <row r="41">
      <c r="A41" t="inlineStr">
        <is>
          <t>Admin, Internet &amp; Telecoms</t>
        </is>
      </c>
      <c r="B41" s="4" t="n">
        <v>3500</v>
      </c>
      <c r="C41" s="4" t="n">
        <v>4000</v>
      </c>
      <c r="D41" s="4" t="n">
        <v>4500</v>
      </c>
    </row>
    <row r="42">
      <c r="A42" t="inlineStr">
        <is>
          <t>Reserve Imprevus / Contingence</t>
        </is>
      </c>
      <c r="B42" s="4" t="n">
        <v>4000</v>
      </c>
      <c r="C42" s="4" t="n">
        <v>4000</v>
      </c>
      <c r="D42" s="4" t="n">
        <v>5000</v>
      </c>
    </row>
    <row r="43">
      <c r="A43" t="inlineStr">
        <is>
          <t>Reserve Recrutement / Croissance</t>
        </is>
      </c>
      <c r="B43" s="4" t="n">
        <v>5000</v>
      </c>
      <c r="C43" s="4" t="n">
        <v>15000</v>
      </c>
      <c r="D43" s="4" t="n">
        <v>22000</v>
      </c>
    </row>
    <row r="44"/>
    <row r="45"/>
    <row r="46">
      <c r="A46" s="14" t="inlineStr">
        <is>
          <t>Hypotheses Go-To-Market</t>
        </is>
      </c>
    </row>
    <row r="47">
      <c r="A47" s="15" t="inlineStr">
        <is>
          <t>Canal</t>
        </is>
      </c>
      <c r="B47" s="15" t="inlineStr">
        <is>
          <t>Objectif</t>
        </is>
      </c>
      <c r="C47" s="15" t="inlineStr">
        <is>
          <t>Activite mensuelle</t>
        </is>
      </c>
      <c r="D47" s="15" t="inlineStr">
        <is>
          <t>Taux Prospect</t>
        </is>
      </c>
      <c r="E47" s="15" t="inlineStr">
        <is>
          <t>Taux Appel</t>
        </is>
      </c>
      <c r="F47" s="15" t="inlineStr">
        <is>
          <t>Taux Closing</t>
        </is>
      </c>
      <c r="G47" s="15" t="inlineStr">
        <is>
          <t>Notes</t>
        </is>
      </c>
    </row>
    <row r="48">
      <c r="A48" t="inlineStr">
        <is>
          <t>Page entreprise LinkedIn</t>
        </is>
      </c>
      <c r="B48" t="inlineStr">
        <is>
          <t>Notoriete et autorite intellectuelle</t>
        </is>
      </c>
      <c r="C48" s="6" t="n">
        <v>8000</v>
      </c>
      <c r="D48" s="6" t="n">
        <v>2.5</v>
      </c>
      <c r="E48" s="6" t="n">
        <v>12</v>
      </c>
      <c r="F48" s="6" t="n">
        <v>35</v>
      </c>
      <c r="G48" t="n">
        <v>30</v>
      </c>
      <c r="H48" t="inlineStr">
        <is>
          <t>Canal principal de sensibilisation</t>
        </is>
      </c>
    </row>
    <row r="49">
      <c r="A49" t="inlineStr">
        <is>
          <t>Medias locaux</t>
        </is>
      </c>
      <c r="B49" t="inlineStr">
        <is>
          <t>Confiance et legitimite locale</t>
        </is>
      </c>
      <c r="C49" s="6" t="n">
        <v>1000</v>
      </c>
      <c r="D49" s="6" t="n">
        <v>8</v>
      </c>
      <c r="E49" s="6" t="n">
        <v>25</v>
      </c>
      <c r="F49" s="6" t="n">
        <v>40</v>
      </c>
      <c r="G49" t="n">
        <v>35</v>
      </c>
      <c r="H49" t="inlineStr">
        <is>
          <t>Visibilite trimestrielle, credibilite accrue</t>
        </is>
      </c>
    </row>
    <row r="50">
      <c r="A50" t="inlineStr">
        <is>
          <t>Recommandations / Partenaires</t>
        </is>
      </c>
      <c r="B50" t="inlineStr">
        <is>
          <t>Opportunites entrantes a forte confiance</t>
        </is>
      </c>
      <c r="C50" s="6" t="n">
        <v>5</v>
      </c>
      <c r="D50" s="6" t="n">
        <v>100</v>
      </c>
      <c r="E50" s="6" t="n">
        <v>100</v>
      </c>
      <c r="F50" s="6" t="n">
        <v>80</v>
      </c>
      <c r="G50" t="n">
        <v>50</v>
      </c>
      <c r="H50" t="inlineStr">
        <is>
          <t>Taux de closing le plus eleve</t>
        </is>
      </c>
    </row>
    <row r="51">
      <c r="A51" t="inlineStr">
        <is>
          <t>Prospection directe</t>
        </is>
      </c>
      <c r="B51" t="inlineStr">
        <is>
          <t>Demarchage cible</t>
        </is>
      </c>
      <c r="C51" s="6" t="n">
        <v>40</v>
      </c>
      <c r="D51" s="6" t="n">
        <v>10</v>
      </c>
      <c r="E51" s="6" t="n">
        <v>60</v>
      </c>
      <c r="F51" s="6" t="n">
        <v>25</v>
      </c>
      <c r="G51" t="n">
        <v>40</v>
      </c>
      <c r="H51" t="inlineStr">
        <is>
          <t>Generation active de pipeline</t>
        </is>
      </c>
    </row>
    <row r="52"/>
    <row r="53"/>
    <row r="54">
      <c r="A54" s="14" t="inlineStr">
        <is>
          <t>Contexte de financement</t>
        </is>
      </c>
    </row>
    <row r="55">
      <c r="A55" s="9" t="inlineStr">
        <is>
          <t>Objectif minimum (Runway lean)</t>
        </is>
      </c>
      <c r="B55" s="13" t="n">
        <v>300000</v>
      </c>
    </row>
    <row r="56">
      <c r="A56" s="9" t="inlineStr">
        <is>
          <t>Financement recommande (Seed)</t>
        </is>
      </c>
      <c r="B56" s="13" t="n">
        <v>1200000</v>
      </c>
    </row>
    <row r="57">
      <c r="A57" s="9" t="inlineStr">
        <is>
          <t>Affectation : Ventes &amp; Image de marque</t>
        </is>
      </c>
      <c r="B57" s="12" t="n">
        <v>0.25</v>
      </c>
    </row>
    <row r="58">
      <c r="A58" s="9" t="inlineStr">
        <is>
          <t>Affectation : Capacite de livraison</t>
        </is>
      </c>
      <c r="B58" s="12" t="n">
        <v>0.3</v>
      </c>
    </row>
    <row r="59">
      <c r="A59" s="9" t="inlineStr">
        <is>
          <t>Affectation : Standardisation &amp; IP</t>
        </is>
      </c>
      <c r="B59" s="12" t="n">
        <v>0.2</v>
      </c>
    </row>
    <row r="60">
      <c r="A60" s="9" t="inlineStr">
        <is>
          <t>Affectation : Conformite &amp; Administration</t>
        </is>
      </c>
      <c r="B60" s="12" t="n">
        <v>0.1</v>
      </c>
    </row>
    <row r="61">
      <c r="A61" s="9" t="inlineStr">
        <is>
          <t>Affectation : Reserve de roulement</t>
        </is>
      </c>
      <c r="B61" s="12" t="n">
        <v>0.15</v>
      </c>
    </row>
    <row r="62"/>
    <row r="63"/>
    <row r="64"/>
    <row r="65">
      <c r="A65" s="14" t="inlineStr">
        <is>
          <t>Sources / Notes fiscales</t>
        </is>
      </c>
    </row>
    <row r="66">
      <c r="A66" s="16" t="inlineStr">
        <is>
          <t>TVA</t>
        </is>
      </c>
      <c r="B66" s="8" t="inlineStr">
        <is>
          <t>SARS : taux de TVA standard de 15%. Enregistrement requis selon seuils SARS.</t>
        </is>
      </c>
      <c r="C66" s="5" t="inlineStr">
        <is>
          <t>https://www.sars.gov.za/types-of-tax/value-added-tax/</t>
        </is>
      </c>
    </row>
    <row r="67">
      <c r="A67" s="16" t="inlineStr">
        <is>
          <t>IS</t>
        </is>
      </c>
      <c r="B67" s="8" t="inlineStr">
        <is>
          <t>SARS : taux standard d'impot sur les societes de 27% pour 2026/27.</t>
        </is>
      </c>
      <c r="C67" s="5" t="inlineStr">
        <is>
          <t>https://www.sars.gov.za/types-of-tax/corporate-income-tax/</t>
        </is>
      </c>
    </row>
    <row r="68">
      <c r="A68" s="16" t="inlineStr">
        <is>
          <t>Taxe forfaitaire micro-entreprises</t>
        </is>
      </c>
      <c r="B68" s="8" t="inlineStr">
        <is>
          <t>SARS : les services professionnels comme le conseil et l'ingenierie en sont generalement exclus.</t>
        </is>
      </c>
      <c r="C68" s="8" t="inlineStr">
        <is>
          <t>https://www.sars.gov.za/faq/faq-what-are-the-requirements-for-a-micro-business-to-qualify-for-turnover-tax/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showGridLines="0" workbookViewId="0">
      <selection activeCell="A1" sqref="A1"/>
    </sheetView>
  </sheetViews>
  <sheetFormatPr baseColWidth="8" defaultRowHeight="15"/>
  <cols>
    <col width="24" customWidth="1" min="1" max="1"/>
    <col width="15" customWidth="1" min="2" max="2"/>
    <col width="14" customWidth="1" min="3" max="3"/>
    <col width="14" customWidth="1" min="4" max="4"/>
    <col width="42" customWidth="1" min="5" max="5"/>
    <col width="50" customWidth="1" min="6" max="6"/>
  </cols>
  <sheetData>
    <row r="1">
      <c r="A1" s="1" t="inlineStr">
        <is>
          <t>Architecture des Offres</t>
        </is>
      </c>
    </row>
    <row r="2">
      <c r="A2" s="2" t="inlineStr">
        <is>
          <t>Offres productisees avec tarifications, livraison et marges conservatives.</t>
        </is>
      </c>
    </row>
    <row r="3"/>
    <row r="4">
      <c r="A4" s="15" t="inlineStr">
        <is>
          <t>Offre</t>
        </is>
      </c>
      <c r="B4" s="15" t="inlineStr">
        <is>
          <t>Tarif (ZAR)</t>
        </is>
      </c>
      <c r="C4" s="15" t="inlineStr">
        <is>
          <t>Cout direct %</t>
        </is>
      </c>
      <c r="D4" s="15" t="inlineStr">
        <is>
          <t>Marge brute %</t>
        </is>
      </c>
      <c r="E4" s="15" t="inlineStr">
        <is>
          <t>Probleme client traite</t>
        </is>
      </c>
      <c r="F4" s="15" t="inlineStr">
        <is>
          <t>Notes de livraison</t>
        </is>
      </c>
    </row>
    <row r="5">
      <c r="A5" t="inlineStr">
        <is>
          <t>Audit / Diagnostic</t>
        </is>
      </c>
      <c r="B5" s="4" t="n">
        <v>25000</v>
      </c>
      <c r="C5" s="6" t="n">
        <v>0.15</v>
      </c>
      <c r="D5" s="6">
        <f>1-C5</f>
        <v/>
      </c>
      <c r="E5" s="8" t="inlineStr">
        <is>
          <t>Identifier les goulots d'etranglement, cartographier les frictions et reveler le ROI.</t>
        </is>
      </c>
      <c r="F5" s="8" t="inlineStr">
        <is>
          <t>Offre d'entree pour identifier le ROI et les goulots d'etranglement.</t>
        </is>
      </c>
    </row>
    <row r="6">
      <c r="A6" t="inlineStr">
        <is>
          <t>Sprint d'Efficience</t>
        </is>
      </c>
      <c r="B6" s="4" t="n">
        <v>75000</v>
      </c>
      <c r="C6" s="6" t="n">
        <v>0.3</v>
      </c>
      <c r="D6" s="6">
        <f>1-C6</f>
        <v/>
      </c>
      <c r="E6" s="8" t="inlineStr">
        <is>
          <t>Resoudre un probleme precis de flux de travail rapidement et de maniere visible.</t>
        </is>
      </c>
      <c r="F6" t="inlineStr">
        <is>
          <t>Sprint court d'implementation, generalement 2-4 semaines.</t>
        </is>
      </c>
    </row>
    <row r="7">
      <c r="A7" t="inlineStr">
        <is>
          <t>Projet d'Implementation</t>
        </is>
      </c>
      <c r="B7" s="4" t="n">
        <v>180000</v>
      </c>
      <c r="C7" s="6" t="n">
        <v>0.45</v>
      </c>
      <c r="D7" s="6">
        <f>1-C7</f>
        <v/>
      </c>
      <c r="E7" s="8" t="inlineStr">
        <is>
          <t>Transformer durablement un flux de travail ou integrer un systeme sur mesure.</t>
        </is>
      </c>
      <c r="F7" s="8" t="inlineStr">
        <is>
          <t>Execution a haute valeur sur un flux de travail ou systeme client.</t>
        </is>
      </c>
    </row>
    <row r="8">
      <c r="A8" t="inlineStr">
        <is>
          <t>Forge Retainer (Accompagnement)</t>
        </is>
      </c>
      <c r="B8" s="4" t="n">
        <v>30000</v>
      </c>
      <c r="C8" s="6" t="n">
        <v>0.2</v>
      </c>
      <c r="D8" s="6">
        <f>1-C8</f>
        <v/>
      </c>
      <c r="E8" s="8" t="inlineStr">
        <is>
          <t>Fournir un support et une optimisation continue des systemes installes.</t>
        </is>
      </c>
      <c r="F8" t="inlineStr">
        <is>
          <t>Optimisation recurrente et support operationnel continu.</t>
        </is>
      </c>
    </row>
    <row r="9">
      <c r="A9" t="inlineStr">
        <is>
          <t>Sovereign Retainer (R&amp;D)</t>
        </is>
      </c>
      <c r="B9" s="4" t="n">
        <v>45000</v>
      </c>
      <c r="C9" s="6" t="n">
        <v>0.5</v>
      </c>
      <c r="D9" s="6">
        <f>1-C9</f>
        <v/>
      </c>
      <c r="E9" s="8" t="inlineStr">
        <is>
          <t>Soutenir la resilience strategique et l'autonomie technologique locale.</t>
        </is>
      </c>
      <c r="F9" t="inlineStr">
        <is>
          <t>Travaux de R&amp;D, d'autonomie et de resilience strategique.</t>
        </is>
      </c>
    </row>
    <row r="10">
      <c r="A10" t="inlineStr">
        <is>
          <t>Dossier Sovereign</t>
        </is>
      </c>
      <c r="B10" s="4" t="n">
        <v>120000</v>
      </c>
      <c r="C10" s="6" t="n">
        <v>0.5</v>
      </c>
      <c r="D10" s="6">
        <f>1-C10</f>
        <v/>
      </c>
      <c r="E10" s="8" t="inlineStr">
        <is>
          <t>Fournir une recherche strategique approfondie ou une note de synthese prete pour le Board.</t>
        </is>
      </c>
      <c r="F10" s="8" t="inlineStr">
        <is>
          <t>Recherche strategique ponctuelle, note de synthese ou feuille de route.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showGridLines="0" workbookViewId="0">
      <selection activeCell="A1" sqref="A1"/>
    </sheetView>
  </sheetViews>
  <sheetFormatPr baseColWidth="8" defaultRowHeight="15"/>
  <cols>
    <col width="26" customWidth="1" min="1" max="1"/>
    <col width="36" customWidth="1" min="2" max="2"/>
    <col width="16" customWidth="1" min="3" max="3"/>
    <col width="12" customWidth="1" min="4" max="4"/>
    <col width="12" customWidth="1" min="5" max="5"/>
    <col width="14" customWidth="1" min="6" max="6"/>
    <col width="12" customWidth="1" min="7" max="7"/>
    <col width="34" customWidth="1" min="8" max="8"/>
  </cols>
  <sheetData>
    <row r="1">
      <c r="A1" s="1" t="inlineStr">
        <is>
          <t>Go-to-Market et Funnel</t>
        </is>
      </c>
    </row>
    <row r="2">
      <c r="A2" s="2" t="inlineStr">
        <is>
          <t>Un entonnoir de conversion pragmatique : attention -&gt; audit -&gt; sprint -&gt; projet -&gt; retainer.</t>
        </is>
      </c>
    </row>
    <row r="3"/>
    <row r="4">
      <c r="A4" s="15" t="inlineStr">
        <is>
          <t>Canal</t>
        </is>
      </c>
      <c r="B4" s="15" t="inlineStr">
        <is>
          <t>Objectif</t>
        </is>
      </c>
      <c r="C4" s="15" t="inlineStr">
        <is>
          <t>Activite mensuelle</t>
        </is>
      </c>
      <c r="D4" s="15" t="inlineStr">
        <is>
          <t>Taux Prospect</t>
        </is>
      </c>
      <c r="E4" s="15" t="inlineStr">
        <is>
          <t>Taux Appel</t>
        </is>
      </c>
      <c r="F4" s="15" t="inlineStr">
        <is>
          <t>Taux Closing (Audit)</t>
        </is>
      </c>
      <c r="G4" s="15" t="inlineStr">
        <is>
          <t>Taux Signature</t>
        </is>
      </c>
      <c r="H4" s="15" t="inlineStr">
        <is>
          <t>Commentaire</t>
        </is>
      </c>
    </row>
    <row r="5">
      <c r="A5" t="inlineStr">
        <is>
          <t>Page entreprise LinkedIn</t>
        </is>
      </c>
      <c r="B5" t="inlineStr">
        <is>
          <t>Notoriete et autorite intellectuelle</t>
        </is>
      </c>
      <c r="C5" s="7" t="n">
        <v>8000</v>
      </c>
      <c r="D5" s="6" t="n">
        <v>0.025</v>
      </c>
      <c r="E5" s="6" t="n">
        <v>0.12</v>
      </c>
      <c r="F5" s="6" t="n">
        <v>0.35</v>
      </c>
      <c r="G5" s="6" t="n">
        <v>0.3</v>
      </c>
      <c r="H5" t="inlineStr">
        <is>
          <t>Canal principal de sensibilisation</t>
        </is>
      </c>
    </row>
    <row r="6">
      <c r="A6" t="inlineStr">
        <is>
          <t>Medias locaux</t>
        </is>
      </c>
      <c r="B6" t="inlineStr">
        <is>
          <t>Confiance et legitimite locale</t>
        </is>
      </c>
      <c r="C6" s="4" t="n">
        <v>1000</v>
      </c>
      <c r="D6" s="6" t="n">
        <v>0.08</v>
      </c>
      <c r="E6" s="6" t="n">
        <v>0.25</v>
      </c>
      <c r="F6" s="6" t="n">
        <v>0.4</v>
      </c>
      <c r="G6" s="6" t="n">
        <v>0.35</v>
      </c>
      <c r="H6" t="inlineStr">
        <is>
          <t>Visibilite trimestrielle, credibilite accrue</t>
        </is>
      </c>
    </row>
    <row r="7">
      <c r="A7" t="inlineStr">
        <is>
          <t>Recommandations / Partenaires</t>
        </is>
      </c>
      <c r="B7" t="inlineStr">
        <is>
          <t>Opportunites entrantes a forte confiance</t>
        </is>
      </c>
      <c r="C7" s="4" t="n">
        <v>5</v>
      </c>
      <c r="D7" s="6" t="n">
        <v>1</v>
      </c>
      <c r="E7" s="6" t="n">
        <v>1</v>
      </c>
      <c r="F7" s="6" t="n">
        <v>0.8</v>
      </c>
      <c r="G7" s="6" t="n">
        <v>0.5</v>
      </c>
      <c r="H7" t="inlineStr">
        <is>
          <t>Taux de closing le plus eleve</t>
        </is>
      </c>
    </row>
    <row r="8">
      <c r="A8" t="inlineStr">
        <is>
          <t>Prospection directe</t>
        </is>
      </c>
      <c r="B8" t="inlineStr">
        <is>
          <t>Demarchage cible</t>
        </is>
      </c>
      <c r="C8" s="4" t="n">
        <v>40</v>
      </c>
      <c r="D8" s="6" t="n">
        <v>0.1</v>
      </c>
      <c r="E8" s="6" t="n">
        <v>0.6</v>
      </c>
      <c r="F8" s="6" t="n">
        <v>0.25</v>
      </c>
      <c r="G8" s="6" t="n">
        <v>0.4</v>
      </c>
      <c r="H8" t="inlineStr">
        <is>
          <t>Generation active de pipeline</t>
        </is>
      </c>
    </row>
    <row r="9"/>
    <row r="10"/>
    <row r="11">
      <c r="A11" t="inlineStr">
        <is>
          <t>Constat pragmatique</t>
        </is>
      </c>
      <c r="B11" s="8" t="inlineStr">
        <is>
          <t>Le modele de developpement ne depend pas d'un seul canal. LinkedIn etablit la confiance, les medias locaux la legitimite, les recommandations accelerent le cycle de vente et le demarchage direct comble les ecarts.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35"/>
  <sheetViews>
    <sheetView showGridLines="0" workbookViewId="0">
      <pane xSplit="1" ySplit="5" topLeftCell="B6" activePane="bottomRight" state="frozen"/>
      <selection pane="topRight"/>
      <selection pane="bottomLeft"/>
      <selection pane="bottomRight"/>
      <selection pane="bottomLeft"/>
      <selection pane="bottomRight" activeCell="A1" sqref="A1"/>
    </sheetView>
  </sheetViews>
  <sheetFormatPr baseColWidth="8" defaultRowHeight="15"/>
  <cols>
    <col width="28" customWidth="1" min="1" max="1"/>
  </cols>
  <sheetData>
    <row r="1">
      <c r="A1" s="17" t="inlineStr">
        <is>
          <t>Modele de Revenus</t>
        </is>
      </c>
    </row>
    <row r="2">
      <c r="A2" s="18" t="inlineStr">
        <is>
          <t>Calcul mensuel attendu. Permet de visualiser l'evolution dans le temps de la capacite de facturation.</t>
        </is>
      </c>
    </row>
    <row r="3">
      <c r="A3" s="17" t="n"/>
    </row>
    <row r="4">
      <c r="A4" s="19" t="inlineStr">
        <is>
          <t>Indicateur</t>
        </is>
      </c>
      <c r="B4" s="15" t="inlineStr">
        <is>
          <t>2026-06</t>
        </is>
      </c>
      <c r="C4" s="15" t="inlineStr">
        <is>
          <t>2026-07</t>
        </is>
      </c>
      <c r="D4" s="15" t="inlineStr">
        <is>
          <t>2026-08</t>
        </is>
      </c>
      <c r="E4" s="15" t="inlineStr">
        <is>
          <t>2026-09</t>
        </is>
      </c>
      <c r="F4" s="15" t="inlineStr">
        <is>
          <t>2026-10</t>
        </is>
      </c>
      <c r="G4" s="15" t="inlineStr">
        <is>
          <t>2026-11</t>
        </is>
      </c>
      <c r="H4" s="15" t="inlineStr">
        <is>
          <t>2026-12</t>
        </is>
      </c>
      <c r="I4" s="15" t="inlineStr">
        <is>
          <t>2027-01</t>
        </is>
      </c>
      <c r="J4" s="15" t="inlineStr">
        <is>
          <t>2027-02</t>
        </is>
      </c>
      <c r="K4" s="15" t="inlineStr">
        <is>
          <t>2027-03</t>
        </is>
      </c>
      <c r="L4" s="15" t="inlineStr">
        <is>
          <t>2027-04</t>
        </is>
      </c>
      <c r="M4" s="15" t="inlineStr">
        <is>
          <t>2027-05</t>
        </is>
      </c>
      <c r="N4" s="15" t="inlineStr">
        <is>
          <t>2027-06</t>
        </is>
      </c>
      <c r="O4" s="15" t="inlineStr">
        <is>
          <t>2027-07</t>
        </is>
      </c>
      <c r="P4" s="15" t="inlineStr">
        <is>
          <t>2027-08</t>
        </is>
      </c>
      <c r="Q4" s="15" t="inlineStr">
        <is>
          <t>2027-09</t>
        </is>
      </c>
      <c r="R4" s="15" t="inlineStr">
        <is>
          <t>2027-10</t>
        </is>
      </c>
      <c r="S4" s="15" t="inlineStr">
        <is>
          <t>2027-11</t>
        </is>
      </c>
      <c r="T4" s="15" t="inlineStr">
        <is>
          <t>2027-12</t>
        </is>
      </c>
      <c r="U4" s="15" t="inlineStr">
        <is>
          <t>2028-01</t>
        </is>
      </c>
      <c r="V4" s="15" t="inlineStr">
        <is>
          <t>2028-02</t>
        </is>
      </c>
      <c r="W4" s="15" t="inlineStr">
        <is>
          <t>2028-03</t>
        </is>
      </c>
      <c r="X4" s="15" t="inlineStr">
        <is>
          <t>2028-04</t>
        </is>
      </c>
      <c r="Y4" s="15" t="inlineStr">
        <is>
          <t>2028-05</t>
        </is>
      </c>
      <c r="Z4" s="15" t="inlineStr">
        <is>
          <t>2028-06</t>
        </is>
      </c>
      <c r="AA4" s="15" t="inlineStr">
        <is>
          <t>2028-07</t>
        </is>
      </c>
      <c r="AB4" s="15" t="inlineStr">
        <is>
          <t>2028-08</t>
        </is>
      </c>
      <c r="AC4" s="15" t="inlineStr">
        <is>
          <t>2028-09</t>
        </is>
      </c>
      <c r="AD4" s="15" t="inlineStr">
        <is>
          <t>2028-10</t>
        </is>
      </c>
      <c r="AE4" s="15" t="inlineStr">
        <is>
          <t>2028-11</t>
        </is>
      </c>
      <c r="AF4" s="15" t="inlineStr">
        <is>
          <t>2028-12</t>
        </is>
      </c>
      <c r="AG4" s="15" t="inlineStr">
        <is>
          <t>2029-01</t>
        </is>
      </c>
      <c r="AH4" s="15" t="inlineStr">
        <is>
          <t>2029-02</t>
        </is>
      </c>
      <c r="AI4" s="15" t="inlineStr">
        <is>
          <t>2029-03</t>
        </is>
      </c>
      <c r="AJ4" s="15" t="inlineStr">
        <is>
          <t>2029-04</t>
        </is>
      </c>
      <c r="AK4" s="15" t="inlineStr">
        <is>
          <t>2029-05</t>
        </is>
      </c>
    </row>
    <row r="5">
      <c r="A5" s="17" t="n"/>
      <c r="B5" s="15" t="n">
        <v>1</v>
      </c>
      <c r="C5" s="15" t="n">
        <v>2</v>
      </c>
      <c r="D5" s="15" t="n">
        <v>3</v>
      </c>
      <c r="E5" s="15" t="n">
        <v>4</v>
      </c>
      <c r="F5" s="15" t="n">
        <v>5</v>
      </c>
      <c r="G5" s="15" t="n">
        <v>6</v>
      </c>
      <c r="H5" s="15" t="n">
        <v>7</v>
      </c>
      <c r="I5" s="15" t="n">
        <v>8</v>
      </c>
      <c r="J5" s="15" t="n">
        <v>9</v>
      </c>
      <c r="K5" s="15" t="n">
        <v>10</v>
      </c>
      <c r="L5" s="15" t="n">
        <v>11</v>
      </c>
      <c r="M5" s="15" t="n">
        <v>12</v>
      </c>
      <c r="N5" s="15" t="n">
        <v>13</v>
      </c>
      <c r="O5" s="15" t="n">
        <v>14</v>
      </c>
      <c r="P5" s="15" t="n">
        <v>15</v>
      </c>
      <c r="Q5" s="15" t="n">
        <v>16</v>
      </c>
      <c r="R5" s="15" t="n">
        <v>17</v>
      </c>
      <c r="S5" s="15" t="n">
        <v>18</v>
      </c>
      <c r="T5" s="15" t="n">
        <v>19</v>
      </c>
      <c r="U5" s="15" t="n">
        <v>20</v>
      </c>
      <c r="V5" s="15" t="n">
        <v>21</v>
      </c>
      <c r="W5" s="15" t="n">
        <v>22</v>
      </c>
      <c r="X5" s="15" t="n">
        <v>23</v>
      </c>
      <c r="Y5" s="15" t="n">
        <v>24</v>
      </c>
      <c r="Z5" s="15" t="n">
        <v>25</v>
      </c>
      <c r="AA5" s="15" t="n">
        <v>26</v>
      </c>
      <c r="AB5" s="15" t="n">
        <v>27</v>
      </c>
      <c r="AC5" s="15" t="n">
        <v>28</v>
      </c>
      <c r="AD5" s="15" t="n">
        <v>29</v>
      </c>
      <c r="AE5" s="15" t="n">
        <v>30</v>
      </c>
      <c r="AF5" s="15" t="n">
        <v>31</v>
      </c>
      <c r="AG5" s="15" t="n">
        <v>32</v>
      </c>
      <c r="AH5" s="15" t="n">
        <v>33</v>
      </c>
      <c r="AI5" s="15" t="n">
        <v>34</v>
      </c>
      <c r="AJ5" s="15" t="n">
        <v>35</v>
      </c>
      <c r="AK5" s="15" t="n">
        <v>36</v>
      </c>
    </row>
    <row r="6">
      <c r="A6" s="17" t="n"/>
    </row>
    <row r="7">
      <c r="A7" s="17" t="inlineStr">
        <is>
          <t>Audit / Diagnostic (Unites)</t>
        </is>
      </c>
      <c r="B7" s="20">
        <f>MIN(Assumptions!$D$25,Assumptions!$B$25+((2-2)*Assumptions!$C$25))</f>
        <v/>
      </c>
      <c r="C7" s="20">
        <f>MIN(Assumptions!$D$25,Assumptions!$B$25+((3-2)*Assumptions!$C$25))</f>
        <v/>
      </c>
      <c r="D7" s="20">
        <f>MIN(Assumptions!$D$25,Assumptions!$B$25+((4-2)*Assumptions!$C$25))</f>
        <v/>
      </c>
      <c r="E7" s="20">
        <f>MIN(Assumptions!$D$25,Assumptions!$B$25+((5-2)*Assumptions!$C$25))</f>
        <v/>
      </c>
      <c r="F7" s="20">
        <f>MIN(Assumptions!$D$25,Assumptions!$B$25+((6-2)*Assumptions!$C$25))</f>
        <v/>
      </c>
      <c r="G7" s="20">
        <f>MIN(Assumptions!$D$25,Assumptions!$B$25+((7-2)*Assumptions!$C$25))</f>
        <v/>
      </c>
      <c r="H7" s="20">
        <f>MIN(Assumptions!$D$25,Assumptions!$B$25+((8-2)*Assumptions!$C$25))</f>
        <v/>
      </c>
      <c r="I7" s="20">
        <f>MIN(Assumptions!$D$25,Assumptions!$B$25+((9-2)*Assumptions!$C$25))</f>
        <v/>
      </c>
      <c r="J7" s="20">
        <f>MIN(Assumptions!$D$25,Assumptions!$B$25+((10-2)*Assumptions!$C$25))</f>
        <v/>
      </c>
      <c r="K7" s="20">
        <f>MIN(Assumptions!$D$25,Assumptions!$B$25+((11-2)*Assumptions!$C$25))</f>
        <v/>
      </c>
      <c r="L7" s="20">
        <f>MIN(Assumptions!$D$25,Assumptions!$B$25+((12-2)*Assumptions!$C$25))</f>
        <v/>
      </c>
      <c r="M7" s="20">
        <f>MIN(Assumptions!$D$25,Assumptions!$B$25+((13-2)*Assumptions!$C$25))</f>
        <v/>
      </c>
      <c r="N7" s="20">
        <f>MIN(Assumptions!$D$25,Assumptions!$B$25+((14-2)*Assumptions!$C$25))</f>
        <v/>
      </c>
      <c r="O7" s="20">
        <f>MIN(Assumptions!$D$25,Assumptions!$B$25+((15-2)*Assumptions!$C$25))</f>
        <v/>
      </c>
      <c r="P7" s="20">
        <f>MIN(Assumptions!$D$25,Assumptions!$B$25+((16-2)*Assumptions!$C$25))</f>
        <v/>
      </c>
      <c r="Q7" s="20">
        <f>MIN(Assumptions!$D$25,Assumptions!$B$25+((17-2)*Assumptions!$C$25))</f>
        <v/>
      </c>
      <c r="R7" s="20">
        <f>MIN(Assumptions!$D$25,Assumptions!$B$25+((18-2)*Assumptions!$C$25))</f>
        <v/>
      </c>
      <c r="S7" s="20">
        <f>MIN(Assumptions!$D$25,Assumptions!$B$25+((19-2)*Assumptions!$C$25))</f>
        <v/>
      </c>
      <c r="T7" s="20">
        <f>MIN(Assumptions!$D$25,Assumptions!$B$25+((20-2)*Assumptions!$C$25))</f>
        <v/>
      </c>
      <c r="U7" s="20">
        <f>MIN(Assumptions!$D$25,Assumptions!$B$25+((21-2)*Assumptions!$C$25))</f>
        <v/>
      </c>
      <c r="V7" s="20">
        <f>MIN(Assumptions!$D$25,Assumptions!$B$25+((22-2)*Assumptions!$C$25))</f>
        <v/>
      </c>
      <c r="W7" s="20">
        <f>MIN(Assumptions!$D$25,Assumptions!$B$25+((23-2)*Assumptions!$C$25))</f>
        <v/>
      </c>
      <c r="X7" s="20">
        <f>MIN(Assumptions!$D$25,Assumptions!$B$25+((24-2)*Assumptions!$C$25))</f>
        <v/>
      </c>
      <c r="Y7" s="20">
        <f>MIN(Assumptions!$D$25,Assumptions!$B$25+((25-2)*Assumptions!$C$25))</f>
        <v/>
      </c>
      <c r="Z7" s="20">
        <f>MIN(Assumptions!$D$25,Assumptions!$B$25+((26-2)*Assumptions!$C$25))</f>
        <v/>
      </c>
      <c r="AA7" s="20">
        <f>MIN(Assumptions!$D$25,Assumptions!$B$25+((27-2)*Assumptions!$C$25))</f>
        <v/>
      </c>
      <c r="AB7" s="20">
        <f>MIN(Assumptions!$D$25,Assumptions!$B$25+((28-2)*Assumptions!$C$25))</f>
        <v/>
      </c>
      <c r="AC7" s="20">
        <f>MIN(Assumptions!$D$25,Assumptions!$B$25+((29-2)*Assumptions!$C$25))</f>
        <v/>
      </c>
      <c r="AD7" s="20">
        <f>MIN(Assumptions!$D$25,Assumptions!$B$25+((30-2)*Assumptions!$C$25))</f>
        <v/>
      </c>
      <c r="AE7" s="20">
        <f>MIN(Assumptions!$D$25,Assumptions!$B$25+((31-2)*Assumptions!$C$25))</f>
        <v/>
      </c>
      <c r="AF7" s="20">
        <f>MIN(Assumptions!$D$25,Assumptions!$B$25+((32-2)*Assumptions!$C$25))</f>
        <v/>
      </c>
      <c r="AG7" s="20">
        <f>MIN(Assumptions!$D$25,Assumptions!$B$25+((33-2)*Assumptions!$C$25))</f>
        <v/>
      </c>
      <c r="AH7" s="20">
        <f>MIN(Assumptions!$D$25,Assumptions!$B$25+((34-2)*Assumptions!$C$25))</f>
        <v/>
      </c>
      <c r="AI7" s="20">
        <f>MIN(Assumptions!$D$25,Assumptions!$B$25+((35-2)*Assumptions!$C$25))</f>
        <v/>
      </c>
      <c r="AJ7" s="20">
        <f>MIN(Assumptions!$D$25,Assumptions!$B$25+((36-2)*Assumptions!$C$25))</f>
        <v/>
      </c>
      <c r="AK7" s="20">
        <f>MIN(Assumptions!$D$25,Assumptions!$B$25+((37-2)*Assumptions!$C$25))</f>
        <v/>
      </c>
    </row>
    <row r="8">
      <c r="A8" s="17" t="inlineStr">
        <is>
          <t>Sprint d'Efficience (Unites)</t>
        </is>
      </c>
      <c r="B8" s="20">
        <f>MIN(Assumptions!$D$26,Assumptions!$B$26+((2-2)*Assumptions!$C$26))</f>
        <v/>
      </c>
      <c r="C8" s="20">
        <f>MIN(Assumptions!$D$26,Assumptions!$B$26+((3-2)*Assumptions!$C$26))</f>
        <v/>
      </c>
      <c r="D8" s="20">
        <f>MIN(Assumptions!$D$26,Assumptions!$B$26+((4-2)*Assumptions!$C$26))</f>
        <v/>
      </c>
      <c r="E8" s="20">
        <f>MIN(Assumptions!$D$26,Assumptions!$B$26+((5-2)*Assumptions!$C$26))</f>
        <v/>
      </c>
      <c r="F8" s="20">
        <f>MIN(Assumptions!$D$26,Assumptions!$B$26+((6-2)*Assumptions!$C$26))</f>
        <v/>
      </c>
      <c r="G8" s="20">
        <f>MIN(Assumptions!$D$26,Assumptions!$B$26+((7-2)*Assumptions!$C$26))</f>
        <v/>
      </c>
      <c r="H8" s="20">
        <f>MIN(Assumptions!$D$26,Assumptions!$B$26+((8-2)*Assumptions!$C$26))</f>
        <v/>
      </c>
      <c r="I8" s="20">
        <f>MIN(Assumptions!$D$26,Assumptions!$B$26+((9-2)*Assumptions!$C$26))</f>
        <v/>
      </c>
      <c r="J8" s="20">
        <f>MIN(Assumptions!$D$26,Assumptions!$B$26+((10-2)*Assumptions!$C$26))</f>
        <v/>
      </c>
      <c r="K8" s="20">
        <f>MIN(Assumptions!$D$26,Assumptions!$B$26+((11-2)*Assumptions!$C$26))</f>
        <v/>
      </c>
      <c r="L8" s="20">
        <f>MIN(Assumptions!$D$26,Assumptions!$B$26+((12-2)*Assumptions!$C$26))</f>
        <v/>
      </c>
      <c r="M8" s="20">
        <f>MIN(Assumptions!$D$26,Assumptions!$B$26+((13-2)*Assumptions!$C$26))</f>
        <v/>
      </c>
      <c r="N8" s="20">
        <f>MIN(Assumptions!$D$26,Assumptions!$B$26+((14-2)*Assumptions!$C$26))</f>
        <v/>
      </c>
      <c r="O8" s="20">
        <f>MIN(Assumptions!$D$26,Assumptions!$B$26+((15-2)*Assumptions!$C$26))</f>
        <v/>
      </c>
      <c r="P8" s="20">
        <f>MIN(Assumptions!$D$26,Assumptions!$B$26+((16-2)*Assumptions!$C$26))</f>
        <v/>
      </c>
      <c r="Q8" s="20">
        <f>MIN(Assumptions!$D$26,Assumptions!$B$26+((17-2)*Assumptions!$C$26))</f>
        <v/>
      </c>
      <c r="R8" s="20">
        <f>MIN(Assumptions!$D$26,Assumptions!$B$26+((18-2)*Assumptions!$C$26))</f>
        <v/>
      </c>
      <c r="S8" s="20">
        <f>MIN(Assumptions!$D$26,Assumptions!$B$26+((19-2)*Assumptions!$C$26))</f>
        <v/>
      </c>
      <c r="T8" s="20">
        <f>MIN(Assumptions!$D$26,Assumptions!$B$26+((20-2)*Assumptions!$C$26))</f>
        <v/>
      </c>
      <c r="U8" s="20">
        <f>MIN(Assumptions!$D$26,Assumptions!$B$26+((21-2)*Assumptions!$C$26))</f>
        <v/>
      </c>
      <c r="V8" s="20">
        <f>MIN(Assumptions!$D$26,Assumptions!$B$26+((22-2)*Assumptions!$C$26))</f>
        <v/>
      </c>
      <c r="W8" s="20">
        <f>MIN(Assumptions!$D$26,Assumptions!$B$26+((23-2)*Assumptions!$C$26))</f>
        <v/>
      </c>
      <c r="X8" s="20">
        <f>MIN(Assumptions!$D$26,Assumptions!$B$26+((24-2)*Assumptions!$C$26))</f>
        <v/>
      </c>
      <c r="Y8" s="20">
        <f>MIN(Assumptions!$D$26,Assumptions!$B$26+((25-2)*Assumptions!$C$26))</f>
        <v/>
      </c>
      <c r="Z8" s="20">
        <f>MIN(Assumptions!$D$26,Assumptions!$B$26+((26-2)*Assumptions!$C$26))</f>
        <v/>
      </c>
      <c r="AA8" s="20">
        <f>MIN(Assumptions!$D$26,Assumptions!$B$26+((27-2)*Assumptions!$C$26))</f>
        <v/>
      </c>
      <c r="AB8" s="20">
        <f>MIN(Assumptions!$D$26,Assumptions!$B$26+((28-2)*Assumptions!$C$26))</f>
        <v/>
      </c>
      <c r="AC8" s="20">
        <f>MIN(Assumptions!$D$26,Assumptions!$B$26+((29-2)*Assumptions!$C$26))</f>
        <v/>
      </c>
      <c r="AD8" s="20">
        <f>MIN(Assumptions!$D$26,Assumptions!$B$26+((30-2)*Assumptions!$C$26))</f>
        <v/>
      </c>
      <c r="AE8" s="20">
        <f>MIN(Assumptions!$D$26,Assumptions!$B$26+((31-2)*Assumptions!$C$26))</f>
        <v/>
      </c>
      <c r="AF8" s="20">
        <f>MIN(Assumptions!$D$26,Assumptions!$B$26+((32-2)*Assumptions!$C$26))</f>
        <v/>
      </c>
      <c r="AG8" s="20">
        <f>MIN(Assumptions!$D$26,Assumptions!$B$26+((33-2)*Assumptions!$C$26))</f>
        <v/>
      </c>
      <c r="AH8" s="20">
        <f>MIN(Assumptions!$D$26,Assumptions!$B$26+((34-2)*Assumptions!$C$26))</f>
        <v/>
      </c>
      <c r="AI8" s="20">
        <f>MIN(Assumptions!$D$26,Assumptions!$B$26+((35-2)*Assumptions!$C$26))</f>
        <v/>
      </c>
      <c r="AJ8" s="20">
        <f>MIN(Assumptions!$D$26,Assumptions!$B$26+((36-2)*Assumptions!$C$26))</f>
        <v/>
      </c>
      <c r="AK8" s="20">
        <f>MIN(Assumptions!$D$26,Assumptions!$B$26+((37-2)*Assumptions!$C$26))</f>
        <v/>
      </c>
    </row>
    <row r="9">
      <c r="A9" s="17" t="inlineStr">
        <is>
          <t>Projet d'Implementation (Unites)</t>
        </is>
      </c>
      <c r="B9" s="20">
        <f>MIN(Assumptions!$D$27,Assumptions!$B$27+((2-2)*Assumptions!$C$27))</f>
        <v/>
      </c>
      <c r="C9" s="20">
        <f>MIN(Assumptions!$D$27,Assumptions!$B$27+((3-2)*Assumptions!$C$27))</f>
        <v/>
      </c>
      <c r="D9" s="20">
        <f>MIN(Assumptions!$D$27,Assumptions!$B$27+((4-2)*Assumptions!$C$27))</f>
        <v/>
      </c>
      <c r="E9" s="20">
        <f>MIN(Assumptions!$D$27,Assumptions!$B$27+((5-2)*Assumptions!$C$27))</f>
        <v/>
      </c>
      <c r="F9" s="20">
        <f>MIN(Assumptions!$D$27,Assumptions!$B$27+((6-2)*Assumptions!$C$27))</f>
        <v/>
      </c>
      <c r="G9" s="20">
        <f>MIN(Assumptions!$D$27,Assumptions!$B$27+((7-2)*Assumptions!$C$27))</f>
        <v/>
      </c>
      <c r="H9" s="20">
        <f>MIN(Assumptions!$D$27,Assumptions!$B$27+((8-2)*Assumptions!$C$27))</f>
        <v/>
      </c>
      <c r="I9" s="20">
        <f>MIN(Assumptions!$D$27,Assumptions!$B$27+((9-2)*Assumptions!$C$27))</f>
        <v/>
      </c>
      <c r="J9" s="20">
        <f>MIN(Assumptions!$D$27,Assumptions!$B$27+((10-2)*Assumptions!$C$27))</f>
        <v/>
      </c>
      <c r="K9" s="20">
        <f>MIN(Assumptions!$D$27,Assumptions!$B$27+((11-2)*Assumptions!$C$27))</f>
        <v/>
      </c>
      <c r="L9" s="20">
        <f>MIN(Assumptions!$D$27,Assumptions!$B$27+((12-2)*Assumptions!$C$27))</f>
        <v/>
      </c>
      <c r="M9" s="20">
        <f>MIN(Assumptions!$D$27,Assumptions!$B$27+((13-2)*Assumptions!$C$27))</f>
        <v/>
      </c>
      <c r="N9" s="20">
        <f>MIN(Assumptions!$D$27,Assumptions!$B$27+((14-2)*Assumptions!$C$27))</f>
        <v/>
      </c>
      <c r="O9" s="20">
        <f>MIN(Assumptions!$D$27,Assumptions!$B$27+((15-2)*Assumptions!$C$27))</f>
        <v/>
      </c>
      <c r="P9" s="20">
        <f>MIN(Assumptions!$D$27,Assumptions!$B$27+((16-2)*Assumptions!$C$27))</f>
        <v/>
      </c>
      <c r="Q9" s="20">
        <f>MIN(Assumptions!$D$27,Assumptions!$B$27+((17-2)*Assumptions!$C$27))</f>
        <v/>
      </c>
      <c r="R9" s="20">
        <f>MIN(Assumptions!$D$27,Assumptions!$B$27+((18-2)*Assumptions!$C$27))</f>
        <v/>
      </c>
      <c r="S9" s="20">
        <f>MIN(Assumptions!$D$27,Assumptions!$B$27+((19-2)*Assumptions!$C$27))</f>
        <v/>
      </c>
      <c r="T9" s="20">
        <f>MIN(Assumptions!$D$27,Assumptions!$B$27+((20-2)*Assumptions!$C$27))</f>
        <v/>
      </c>
      <c r="U9" s="20">
        <f>MIN(Assumptions!$D$27,Assumptions!$B$27+((21-2)*Assumptions!$C$27))</f>
        <v/>
      </c>
      <c r="V9" s="20">
        <f>MIN(Assumptions!$D$27,Assumptions!$B$27+((22-2)*Assumptions!$C$27))</f>
        <v/>
      </c>
      <c r="W9" s="20">
        <f>MIN(Assumptions!$D$27,Assumptions!$B$27+((23-2)*Assumptions!$C$27))</f>
        <v/>
      </c>
      <c r="X9" s="20">
        <f>MIN(Assumptions!$D$27,Assumptions!$B$27+((24-2)*Assumptions!$C$27))</f>
        <v/>
      </c>
      <c r="Y9" s="20">
        <f>MIN(Assumptions!$D$27,Assumptions!$B$27+((25-2)*Assumptions!$C$27))</f>
        <v/>
      </c>
      <c r="Z9" s="20">
        <f>MIN(Assumptions!$D$27,Assumptions!$B$27+((26-2)*Assumptions!$C$27))</f>
        <v/>
      </c>
      <c r="AA9" s="20">
        <f>MIN(Assumptions!$D$27,Assumptions!$B$27+((27-2)*Assumptions!$C$27))</f>
        <v/>
      </c>
      <c r="AB9" s="20">
        <f>MIN(Assumptions!$D$27,Assumptions!$B$27+((28-2)*Assumptions!$C$27))</f>
        <v/>
      </c>
      <c r="AC9" s="20">
        <f>MIN(Assumptions!$D$27,Assumptions!$B$27+((29-2)*Assumptions!$C$27))</f>
        <v/>
      </c>
      <c r="AD9" s="20">
        <f>MIN(Assumptions!$D$27,Assumptions!$B$27+((30-2)*Assumptions!$C$27))</f>
        <v/>
      </c>
      <c r="AE9" s="20">
        <f>MIN(Assumptions!$D$27,Assumptions!$B$27+((31-2)*Assumptions!$C$27))</f>
        <v/>
      </c>
      <c r="AF9" s="20">
        <f>MIN(Assumptions!$D$27,Assumptions!$B$27+((32-2)*Assumptions!$C$27))</f>
        <v/>
      </c>
      <c r="AG9" s="20">
        <f>MIN(Assumptions!$D$27,Assumptions!$B$27+((33-2)*Assumptions!$C$27))</f>
        <v/>
      </c>
      <c r="AH9" s="20">
        <f>MIN(Assumptions!$D$27,Assumptions!$B$27+((34-2)*Assumptions!$C$27))</f>
        <v/>
      </c>
      <c r="AI9" s="20">
        <f>MIN(Assumptions!$D$27,Assumptions!$B$27+((35-2)*Assumptions!$C$27))</f>
        <v/>
      </c>
      <c r="AJ9" s="20">
        <f>MIN(Assumptions!$D$27,Assumptions!$B$27+((36-2)*Assumptions!$C$27))</f>
        <v/>
      </c>
      <c r="AK9" s="20">
        <f>MIN(Assumptions!$D$27,Assumptions!$B$27+((37-2)*Assumptions!$C$27))</f>
        <v/>
      </c>
    </row>
    <row r="10">
      <c r="A10" s="17" t="inlineStr">
        <is>
          <t>Forge Retainer (Accompagnement) (Unites)</t>
        </is>
      </c>
      <c r="B10" s="20">
        <f>MIN(Assumptions!$D$28,Assumptions!$B$28+((2-2)*Assumptions!$C$28))</f>
        <v/>
      </c>
      <c r="C10" s="20">
        <f>MIN(Assumptions!$D$28,Assumptions!$B$28+((3-2)*Assumptions!$C$28))</f>
        <v/>
      </c>
      <c r="D10" s="20">
        <f>MIN(Assumptions!$D$28,Assumptions!$B$28+((4-2)*Assumptions!$C$28))</f>
        <v/>
      </c>
      <c r="E10" s="20">
        <f>MIN(Assumptions!$D$28,Assumptions!$B$28+((5-2)*Assumptions!$C$28))</f>
        <v/>
      </c>
      <c r="F10" s="20">
        <f>MIN(Assumptions!$D$28,Assumptions!$B$28+((6-2)*Assumptions!$C$28))</f>
        <v/>
      </c>
      <c r="G10" s="20">
        <f>MIN(Assumptions!$D$28,Assumptions!$B$28+((7-2)*Assumptions!$C$28))</f>
        <v/>
      </c>
      <c r="H10" s="20">
        <f>MIN(Assumptions!$D$28,Assumptions!$B$28+((8-2)*Assumptions!$C$28))</f>
        <v/>
      </c>
      <c r="I10" s="20">
        <f>MIN(Assumptions!$D$28,Assumptions!$B$28+((9-2)*Assumptions!$C$28))</f>
        <v/>
      </c>
      <c r="J10" s="20">
        <f>MIN(Assumptions!$D$28,Assumptions!$B$28+((10-2)*Assumptions!$C$28))</f>
        <v/>
      </c>
      <c r="K10" s="20">
        <f>MIN(Assumptions!$D$28,Assumptions!$B$28+((11-2)*Assumptions!$C$28))</f>
        <v/>
      </c>
      <c r="L10" s="20">
        <f>MIN(Assumptions!$D$28,Assumptions!$B$28+((12-2)*Assumptions!$C$28))</f>
        <v/>
      </c>
      <c r="M10" s="20">
        <f>MIN(Assumptions!$D$28,Assumptions!$B$28+((13-2)*Assumptions!$C$28))</f>
        <v/>
      </c>
      <c r="N10" s="20">
        <f>MIN(Assumptions!$D$28,Assumptions!$B$28+((14-2)*Assumptions!$C$28))</f>
        <v/>
      </c>
      <c r="O10" s="20">
        <f>MIN(Assumptions!$D$28,Assumptions!$B$28+((15-2)*Assumptions!$C$28))</f>
        <v/>
      </c>
      <c r="P10" s="20">
        <f>MIN(Assumptions!$D$28,Assumptions!$B$28+((16-2)*Assumptions!$C$28))</f>
        <v/>
      </c>
      <c r="Q10" s="20">
        <f>MIN(Assumptions!$D$28,Assumptions!$B$28+((17-2)*Assumptions!$C$28))</f>
        <v/>
      </c>
      <c r="R10" s="20">
        <f>MIN(Assumptions!$D$28,Assumptions!$B$28+((18-2)*Assumptions!$C$28))</f>
        <v/>
      </c>
      <c r="S10" s="20">
        <f>MIN(Assumptions!$D$28,Assumptions!$B$28+((19-2)*Assumptions!$C$28))</f>
        <v/>
      </c>
      <c r="T10" s="20">
        <f>MIN(Assumptions!$D$28,Assumptions!$B$28+((20-2)*Assumptions!$C$28))</f>
        <v/>
      </c>
      <c r="U10" s="20">
        <f>MIN(Assumptions!$D$28,Assumptions!$B$28+((21-2)*Assumptions!$C$28))</f>
        <v/>
      </c>
      <c r="V10" s="20">
        <f>MIN(Assumptions!$D$28,Assumptions!$B$28+((22-2)*Assumptions!$C$28))</f>
        <v/>
      </c>
      <c r="W10" s="20">
        <f>MIN(Assumptions!$D$28,Assumptions!$B$28+((23-2)*Assumptions!$C$28))</f>
        <v/>
      </c>
      <c r="X10" s="20">
        <f>MIN(Assumptions!$D$28,Assumptions!$B$28+((24-2)*Assumptions!$C$28))</f>
        <v/>
      </c>
      <c r="Y10" s="20">
        <f>MIN(Assumptions!$D$28,Assumptions!$B$28+((25-2)*Assumptions!$C$28))</f>
        <v/>
      </c>
      <c r="Z10" s="20">
        <f>MIN(Assumptions!$D$28,Assumptions!$B$28+((26-2)*Assumptions!$C$28))</f>
        <v/>
      </c>
      <c r="AA10" s="20">
        <f>MIN(Assumptions!$D$28,Assumptions!$B$28+((27-2)*Assumptions!$C$28))</f>
        <v/>
      </c>
      <c r="AB10" s="20">
        <f>MIN(Assumptions!$D$28,Assumptions!$B$28+((28-2)*Assumptions!$C$28))</f>
        <v/>
      </c>
      <c r="AC10" s="20">
        <f>MIN(Assumptions!$D$28,Assumptions!$B$28+((29-2)*Assumptions!$C$28))</f>
        <v/>
      </c>
      <c r="AD10" s="20">
        <f>MIN(Assumptions!$D$28,Assumptions!$B$28+((30-2)*Assumptions!$C$28))</f>
        <v/>
      </c>
      <c r="AE10" s="20">
        <f>MIN(Assumptions!$D$28,Assumptions!$B$28+((31-2)*Assumptions!$C$28))</f>
        <v/>
      </c>
      <c r="AF10" s="20">
        <f>MIN(Assumptions!$D$28,Assumptions!$B$28+((32-2)*Assumptions!$C$28))</f>
        <v/>
      </c>
      <c r="AG10" s="20">
        <f>MIN(Assumptions!$D$28,Assumptions!$B$28+((33-2)*Assumptions!$C$28))</f>
        <v/>
      </c>
      <c r="AH10" s="20">
        <f>MIN(Assumptions!$D$28,Assumptions!$B$28+((34-2)*Assumptions!$C$28))</f>
        <v/>
      </c>
      <c r="AI10" s="20">
        <f>MIN(Assumptions!$D$28,Assumptions!$B$28+((35-2)*Assumptions!$C$28))</f>
        <v/>
      </c>
      <c r="AJ10" s="20">
        <f>MIN(Assumptions!$D$28,Assumptions!$B$28+((36-2)*Assumptions!$C$28))</f>
        <v/>
      </c>
      <c r="AK10" s="20">
        <f>MIN(Assumptions!$D$28,Assumptions!$B$28+((37-2)*Assumptions!$C$28))</f>
        <v/>
      </c>
    </row>
    <row r="11">
      <c r="A11" s="17" t="inlineStr">
        <is>
          <t>Sovereign Retainer (R&amp;D) (Unites)</t>
        </is>
      </c>
      <c r="B11" s="20">
        <f>MIN(Assumptions!$D$29,Assumptions!$B$29+((2-2)*Assumptions!$C$29))</f>
        <v/>
      </c>
      <c r="C11" s="20">
        <f>MIN(Assumptions!$D$29,Assumptions!$B$29+((3-2)*Assumptions!$C$29))</f>
        <v/>
      </c>
      <c r="D11" s="20">
        <f>MIN(Assumptions!$D$29,Assumptions!$B$29+((4-2)*Assumptions!$C$29))</f>
        <v/>
      </c>
      <c r="E11" s="20">
        <f>MIN(Assumptions!$D$29,Assumptions!$B$29+((5-2)*Assumptions!$C$29))</f>
        <v/>
      </c>
      <c r="F11" s="20">
        <f>MIN(Assumptions!$D$29,Assumptions!$B$29+((6-2)*Assumptions!$C$29))</f>
        <v/>
      </c>
      <c r="G11" s="20">
        <f>MIN(Assumptions!$D$29,Assumptions!$B$29+((7-2)*Assumptions!$C$29))</f>
        <v/>
      </c>
      <c r="H11" s="20">
        <f>MIN(Assumptions!$D$29,Assumptions!$B$29+((8-2)*Assumptions!$C$29))</f>
        <v/>
      </c>
      <c r="I11" s="20">
        <f>MIN(Assumptions!$D$29,Assumptions!$B$29+((9-2)*Assumptions!$C$29))</f>
        <v/>
      </c>
      <c r="J11" s="20">
        <f>MIN(Assumptions!$D$29,Assumptions!$B$29+((10-2)*Assumptions!$C$29))</f>
        <v/>
      </c>
      <c r="K11" s="20">
        <f>MIN(Assumptions!$D$29,Assumptions!$B$29+((11-2)*Assumptions!$C$29))</f>
        <v/>
      </c>
      <c r="L11" s="20">
        <f>MIN(Assumptions!$D$29,Assumptions!$B$29+((12-2)*Assumptions!$C$29))</f>
        <v/>
      </c>
      <c r="M11" s="20">
        <f>MIN(Assumptions!$D$29,Assumptions!$B$29+((13-2)*Assumptions!$C$29))</f>
        <v/>
      </c>
      <c r="N11" s="20">
        <f>MIN(Assumptions!$D$29,Assumptions!$B$29+((14-2)*Assumptions!$C$29))</f>
        <v/>
      </c>
      <c r="O11" s="20">
        <f>MIN(Assumptions!$D$29,Assumptions!$B$29+((15-2)*Assumptions!$C$29))</f>
        <v/>
      </c>
      <c r="P11" s="20">
        <f>MIN(Assumptions!$D$29,Assumptions!$B$29+((16-2)*Assumptions!$C$29))</f>
        <v/>
      </c>
      <c r="Q11" s="20">
        <f>MIN(Assumptions!$D$29,Assumptions!$B$29+((17-2)*Assumptions!$C$29))</f>
        <v/>
      </c>
      <c r="R11" s="20">
        <f>MIN(Assumptions!$D$29,Assumptions!$B$29+((18-2)*Assumptions!$C$29))</f>
        <v/>
      </c>
      <c r="S11" s="20">
        <f>MIN(Assumptions!$D$29,Assumptions!$B$29+((19-2)*Assumptions!$C$29))</f>
        <v/>
      </c>
      <c r="T11" s="20">
        <f>MIN(Assumptions!$D$29,Assumptions!$B$29+((20-2)*Assumptions!$C$29))</f>
        <v/>
      </c>
      <c r="U11" s="20">
        <f>MIN(Assumptions!$D$29,Assumptions!$B$29+((21-2)*Assumptions!$C$29))</f>
        <v/>
      </c>
      <c r="V11" s="20">
        <f>MIN(Assumptions!$D$29,Assumptions!$B$29+((22-2)*Assumptions!$C$29))</f>
        <v/>
      </c>
      <c r="W11" s="20">
        <f>MIN(Assumptions!$D$29,Assumptions!$B$29+((23-2)*Assumptions!$C$29))</f>
        <v/>
      </c>
      <c r="X11" s="20">
        <f>MIN(Assumptions!$D$29,Assumptions!$B$29+((24-2)*Assumptions!$C$29))</f>
        <v/>
      </c>
      <c r="Y11" s="20">
        <f>MIN(Assumptions!$D$29,Assumptions!$B$29+((25-2)*Assumptions!$C$29))</f>
        <v/>
      </c>
      <c r="Z11" s="20">
        <f>MIN(Assumptions!$D$29,Assumptions!$B$29+((26-2)*Assumptions!$C$29))</f>
        <v/>
      </c>
      <c r="AA11" s="20">
        <f>MIN(Assumptions!$D$29,Assumptions!$B$29+((27-2)*Assumptions!$C$29))</f>
        <v/>
      </c>
      <c r="AB11" s="20">
        <f>MIN(Assumptions!$D$29,Assumptions!$B$29+((28-2)*Assumptions!$C$29))</f>
        <v/>
      </c>
      <c r="AC11" s="20">
        <f>MIN(Assumptions!$D$29,Assumptions!$B$29+((29-2)*Assumptions!$C$29))</f>
        <v/>
      </c>
      <c r="AD11" s="20">
        <f>MIN(Assumptions!$D$29,Assumptions!$B$29+((30-2)*Assumptions!$C$29))</f>
        <v/>
      </c>
      <c r="AE11" s="20">
        <f>MIN(Assumptions!$D$29,Assumptions!$B$29+((31-2)*Assumptions!$C$29))</f>
        <v/>
      </c>
      <c r="AF11" s="20">
        <f>MIN(Assumptions!$D$29,Assumptions!$B$29+((32-2)*Assumptions!$C$29))</f>
        <v/>
      </c>
      <c r="AG11" s="20">
        <f>MIN(Assumptions!$D$29,Assumptions!$B$29+((33-2)*Assumptions!$C$29))</f>
        <v/>
      </c>
      <c r="AH11" s="20">
        <f>MIN(Assumptions!$D$29,Assumptions!$B$29+((34-2)*Assumptions!$C$29))</f>
        <v/>
      </c>
      <c r="AI11" s="20">
        <f>MIN(Assumptions!$D$29,Assumptions!$B$29+((35-2)*Assumptions!$C$29))</f>
        <v/>
      </c>
      <c r="AJ11" s="20">
        <f>MIN(Assumptions!$D$29,Assumptions!$B$29+((36-2)*Assumptions!$C$29))</f>
        <v/>
      </c>
      <c r="AK11" s="20">
        <f>MIN(Assumptions!$D$29,Assumptions!$B$29+((37-2)*Assumptions!$C$29))</f>
        <v/>
      </c>
    </row>
    <row r="12">
      <c r="A12" s="17" t="inlineStr">
        <is>
          <t>Dossier Sovereign (Unites)</t>
        </is>
      </c>
      <c r="B12" s="20">
        <f>MIN(Assumptions!$D$30,Assumptions!$B$30+((2-2)*Assumptions!$C$30))</f>
        <v/>
      </c>
      <c r="C12" s="20">
        <f>MIN(Assumptions!$D$30,Assumptions!$B$30+((3-2)*Assumptions!$C$30))</f>
        <v/>
      </c>
      <c r="D12" s="20">
        <f>MIN(Assumptions!$D$30,Assumptions!$B$30+((4-2)*Assumptions!$C$30))</f>
        <v/>
      </c>
      <c r="E12" s="20">
        <f>MIN(Assumptions!$D$30,Assumptions!$B$30+((5-2)*Assumptions!$C$30))</f>
        <v/>
      </c>
      <c r="F12" s="20">
        <f>MIN(Assumptions!$D$30,Assumptions!$B$30+((6-2)*Assumptions!$C$30))</f>
        <v/>
      </c>
      <c r="G12" s="20">
        <f>MIN(Assumptions!$D$30,Assumptions!$B$30+((7-2)*Assumptions!$C$30))</f>
        <v/>
      </c>
      <c r="H12" s="20">
        <f>MIN(Assumptions!$D$30,Assumptions!$B$30+((8-2)*Assumptions!$C$30))</f>
        <v/>
      </c>
      <c r="I12" s="20">
        <f>MIN(Assumptions!$D$30,Assumptions!$B$30+((9-2)*Assumptions!$C$30))</f>
        <v/>
      </c>
      <c r="J12" s="20">
        <f>MIN(Assumptions!$D$30,Assumptions!$B$30+((10-2)*Assumptions!$C$30))</f>
        <v/>
      </c>
      <c r="K12" s="20">
        <f>MIN(Assumptions!$D$30,Assumptions!$B$30+((11-2)*Assumptions!$C$30))</f>
        <v/>
      </c>
      <c r="L12" s="20">
        <f>MIN(Assumptions!$D$30,Assumptions!$B$30+((12-2)*Assumptions!$C$30))</f>
        <v/>
      </c>
      <c r="M12" s="20">
        <f>MIN(Assumptions!$D$30,Assumptions!$B$30+((13-2)*Assumptions!$C$30))</f>
        <v/>
      </c>
      <c r="N12" s="20">
        <f>MIN(Assumptions!$D$30,Assumptions!$B$30+((14-2)*Assumptions!$C$30))</f>
        <v/>
      </c>
      <c r="O12" s="20">
        <f>MIN(Assumptions!$D$30,Assumptions!$B$30+((15-2)*Assumptions!$C$30))</f>
        <v/>
      </c>
      <c r="P12" s="20">
        <f>MIN(Assumptions!$D$30,Assumptions!$B$30+((16-2)*Assumptions!$C$30))</f>
        <v/>
      </c>
      <c r="Q12" s="20">
        <f>MIN(Assumptions!$D$30,Assumptions!$B$30+((17-2)*Assumptions!$C$30))</f>
        <v/>
      </c>
      <c r="R12" s="20">
        <f>MIN(Assumptions!$D$30,Assumptions!$B$30+((18-2)*Assumptions!$C$30))</f>
        <v/>
      </c>
      <c r="S12" s="20">
        <f>MIN(Assumptions!$D$30,Assumptions!$B$30+((19-2)*Assumptions!$C$30))</f>
        <v/>
      </c>
      <c r="T12" s="20">
        <f>MIN(Assumptions!$D$30,Assumptions!$B$30+((20-2)*Assumptions!$C$30))</f>
        <v/>
      </c>
      <c r="U12" s="20">
        <f>MIN(Assumptions!$D$30,Assumptions!$B$30+((21-2)*Assumptions!$C$30))</f>
        <v/>
      </c>
      <c r="V12" s="20">
        <f>MIN(Assumptions!$D$30,Assumptions!$B$30+((22-2)*Assumptions!$C$30))</f>
        <v/>
      </c>
      <c r="W12" s="20">
        <f>MIN(Assumptions!$D$30,Assumptions!$B$30+((23-2)*Assumptions!$C$30))</f>
        <v/>
      </c>
      <c r="X12" s="20">
        <f>MIN(Assumptions!$D$30,Assumptions!$B$30+((24-2)*Assumptions!$C$30))</f>
        <v/>
      </c>
      <c r="Y12" s="20">
        <f>MIN(Assumptions!$D$30,Assumptions!$B$30+((25-2)*Assumptions!$C$30))</f>
        <v/>
      </c>
      <c r="Z12" s="20">
        <f>MIN(Assumptions!$D$30,Assumptions!$B$30+((26-2)*Assumptions!$C$30))</f>
        <v/>
      </c>
      <c r="AA12" s="20">
        <f>MIN(Assumptions!$D$30,Assumptions!$B$30+((27-2)*Assumptions!$C$30))</f>
        <v/>
      </c>
      <c r="AB12" s="20">
        <f>MIN(Assumptions!$D$30,Assumptions!$B$30+((28-2)*Assumptions!$C$30))</f>
        <v/>
      </c>
      <c r="AC12" s="20">
        <f>MIN(Assumptions!$D$30,Assumptions!$B$30+((29-2)*Assumptions!$C$30))</f>
        <v/>
      </c>
      <c r="AD12" s="20">
        <f>MIN(Assumptions!$D$30,Assumptions!$B$30+((30-2)*Assumptions!$C$30))</f>
        <v/>
      </c>
      <c r="AE12" s="20">
        <f>MIN(Assumptions!$D$30,Assumptions!$B$30+((31-2)*Assumptions!$C$30))</f>
        <v/>
      </c>
      <c r="AF12" s="20">
        <f>MIN(Assumptions!$D$30,Assumptions!$B$30+((32-2)*Assumptions!$C$30))</f>
        <v/>
      </c>
      <c r="AG12" s="20">
        <f>MIN(Assumptions!$D$30,Assumptions!$B$30+((33-2)*Assumptions!$C$30))</f>
        <v/>
      </c>
      <c r="AH12" s="20">
        <f>MIN(Assumptions!$D$30,Assumptions!$B$30+((34-2)*Assumptions!$C$30))</f>
        <v/>
      </c>
      <c r="AI12" s="20">
        <f>MIN(Assumptions!$D$30,Assumptions!$B$30+((35-2)*Assumptions!$C$30))</f>
        <v/>
      </c>
      <c r="AJ12" s="20">
        <f>MIN(Assumptions!$D$30,Assumptions!$B$30+((36-2)*Assumptions!$C$30))</f>
        <v/>
      </c>
      <c r="AK12" s="20">
        <f>MIN(Assumptions!$D$30,Assumptions!$B$30+((37-2)*Assumptions!$C$30))</f>
        <v/>
      </c>
    </row>
    <row r="13">
      <c r="A13" s="17" t="n"/>
    </row>
    <row r="14">
      <c r="A14" s="17" t="n"/>
    </row>
    <row r="15">
      <c r="A15" s="17" t="inlineStr">
        <is>
          <t>Audit / Diagnostic (CA)</t>
        </is>
      </c>
      <c r="B15" s="4">
        <f>B7*Assumptions!$B$15</f>
        <v/>
      </c>
      <c r="C15" s="4">
        <f>C7*Assumptions!$B$15</f>
        <v/>
      </c>
      <c r="D15" s="4">
        <f>D7*Assumptions!$B$15</f>
        <v/>
      </c>
      <c r="E15" s="4">
        <f>E7*Assumptions!$B$15</f>
        <v/>
      </c>
      <c r="F15" s="4">
        <f>F7*Assumptions!$B$15</f>
        <v/>
      </c>
      <c r="G15" s="4">
        <f>G7*Assumptions!$B$15</f>
        <v/>
      </c>
      <c r="H15" s="4">
        <f>H7*Assumptions!$B$15</f>
        <v/>
      </c>
      <c r="I15" s="4">
        <f>I7*Assumptions!$B$15</f>
        <v/>
      </c>
      <c r="J15" s="4">
        <f>J7*Assumptions!$B$15</f>
        <v/>
      </c>
      <c r="K15" s="4">
        <f>K7*Assumptions!$B$15</f>
        <v/>
      </c>
      <c r="L15" s="4">
        <f>L7*Assumptions!$B$15</f>
        <v/>
      </c>
      <c r="M15" s="4">
        <f>M7*Assumptions!$B$15</f>
        <v/>
      </c>
      <c r="N15" s="4">
        <f>N7*Assumptions!$B$15</f>
        <v/>
      </c>
      <c r="O15" s="4">
        <f>O7*Assumptions!$B$15</f>
        <v/>
      </c>
      <c r="P15" s="4">
        <f>P7*Assumptions!$B$15</f>
        <v/>
      </c>
      <c r="Q15" s="4">
        <f>Q7*Assumptions!$B$15</f>
        <v/>
      </c>
      <c r="R15" s="4">
        <f>R7*Assumptions!$B$15</f>
        <v/>
      </c>
      <c r="S15" s="4">
        <f>S7*Assumptions!$B$15</f>
        <v/>
      </c>
      <c r="T15" s="4">
        <f>T7*Assumptions!$B$15</f>
        <v/>
      </c>
      <c r="U15" s="4">
        <f>U7*Assumptions!$B$15</f>
        <v/>
      </c>
      <c r="V15" s="4">
        <f>V7*Assumptions!$B$15</f>
        <v/>
      </c>
      <c r="W15" s="4">
        <f>W7*Assumptions!$B$15</f>
        <v/>
      </c>
      <c r="X15" s="4">
        <f>X7*Assumptions!$B$15</f>
        <v/>
      </c>
      <c r="Y15" s="4">
        <f>Y7*Assumptions!$B$15</f>
        <v/>
      </c>
      <c r="Z15" s="4">
        <f>Z7*Assumptions!$B$15</f>
        <v/>
      </c>
      <c r="AA15" s="4">
        <f>AA7*Assumptions!$B$15</f>
        <v/>
      </c>
      <c r="AB15" s="4">
        <f>AB7*Assumptions!$B$15</f>
        <v/>
      </c>
      <c r="AC15" s="4">
        <f>AC7*Assumptions!$B$15</f>
        <v/>
      </c>
      <c r="AD15" s="4">
        <f>AD7*Assumptions!$B$15</f>
        <v/>
      </c>
      <c r="AE15" s="4">
        <f>AE7*Assumptions!$B$15</f>
        <v/>
      </c>
      <c r="AF15" s="4">
        <f>AF7*Assumptions!$B$15</f>
        <v/>
      </c>
      <c r="AG15" s="4">
        <f>AG7*Assumptions!$B$15</f>
        <v/>
      </c>
      <c r="AH15" s="4">
        <f>AH7*Assumptions!$B$15</f>
        <v/>
      </c>
      <c r="AI15" s="4">
        <f>AI7*Assumptions!$B$15</f>
        <v/>
      </c>
      <c r="AJ15" s="4">
        <f>AJ7*Assumptions!$B$15</f>
        <v/>
      </c>
      <c r="AK15" s="4">
        <f>AK7*Assumptions!$B$15</f>
        <v/>
      </c>
    </row>
    <row r="16">
      <c r="A16" s="17" t="inlineStr">
        <is>
          <t>Sprint d'Efficience (CA)</t>
        </is>
      </c>
      <c r="B16" s="4">
        <f>B8*Assumptions!$B$16</f>
        <v/>
      </c>
      <c r="C16" s="4">
        <f>C8*Assumptions!$B$16</f>
        <v/>
      </c>
      <c r="D16" s="4">
        <f>D8*Assumptions!$B$16</f>
        <v/>
      </c>
      <c r="E16" s="4">
        <f>E8*Assumptions!$B$16</f>
        <v/>
      </c>
      <c r="F16" s="4">
        <f>F8*Assumptions!$B$16</f>
        <v/>
      </c>
      <c r="G16" s="4">
        <f>G8*Assumptions!$B$16</f>
        <v/>
      </c>
      <c r="H16" s="4">
        <f>H8*Assumptions!$B$16</f>
        <v/>
      </c>
      <c r="I16" s="4">
        <f>I8*Assumptions!$B$16</f>
        <v/>
      </c>
      <c r="J16" s="4">
        <f>J8*Assumptions!$B$16</f>
        <v/>
      </c>
      <c r="K16" s="4">
        <f>K8*Assumptions!$B$16</f>
        <v/>
      </c>
      <c r="L16" s="4">
        <f>L8*Assumptions!$B$16</f>
        <v/>
      </c>
      <c r="M16" s="4">
        <f>M8*Assumptions!$B$16</f>
        <v/>
      </c>
      <c r="N16" s="4">
        <f>N8*Assumptions!$B$16</f>
        <v/>
      </c>
      <c r="O16" s="4">
        <f>O8*Assumptions!$B$16</f>
        <v/>
      </c>
      <c r="P16" s="4">
        <f>P8*Assumptions!$B$16</f>
        <v/>
      </c>
      <c r="Q16" s="4">
        <f>Q8*Assumptions!$B$16</f>
        <v/>
      </c>
      <c r="R16" s="4">
        <f>R8*Assumptions!$B$16</f>
        <v/>
      </c>
      <c r="S16" s="4">
        <f>S8*Assumptions!$B$16</f>
        <v/>
      </c>
      <c r="T16" s="4">
        <f>T8*Assumptions!$B$16</f>
        <v/>
      </c>
      <c r="U16" s="4">
        <f>U8*Assumptions!$B$16</f>
        <v/>
      </c>
      <c r="V16" s="4">
        <f>V8*Assumptions!$B$16</f>
        <v/>
      </c>
      <c r="W16" s="4">
        <f>W8*Assumptions!$B$16</f>
        <v/>
      </c>
      <c r="X16" s="4">
        <f>X8*Assumptions!$B$16</f>
        <v/>
      </c>
      <c r="Y16" s="4">
        <f>Y8*Assumptions!$B$16</f>
        <v/>
      </c>
      <c r="Z16" s="4">
        <f>Z8*Assumptions!$B$16</f>
        <v/>
      </c>
      <c r="AA16" s="4">
        <f>AA8*Assumptions!$B$16</f>
        <v/>
      </c>
      <c r="AB16" s="4">
        <f>AB8*Assumptions!$B$16</f>
        <v/>
      </c>
      <c r="AC16" s="4">
        <f>AC8*Assumptions!$B$16</f>
        <v/>
      </c>
      <c r="AD16" s="4">
        <f>AD8*Assumptions!$B$16</f>
        <v/>
      </c>
      <c r="AE16" s="4">
        <f>AE8*Assumptions!$B$16</f>
        <v/>
      </c>
      <c r="AF16" s="4">
        <f>AF8*Assumptions!$B$16</f>
        <v/>
      </c>
      <c r="AG16" s="4">
        <f>AG8*Assumptions!$B$16</f>
        <v/>
      </c>
      <c r="AH16" s="4">
        <f>AH8*Assumptions!$B$16</f>
        <v/>
      </c>
      <c r="AI16" s="4">
        <f>AI8*Assumptions!$B$16</f>
        <v/>
      </c>
      <c r="AJ16" s="4">
        <f>AJ8*Assumptions!$B$16</f>
        <v/>
      </c>
      <c r="AK16" s="4">
        <f>AK8*Assumptions!$B$16</f>
        <v/>
      </c>
    </row>
    <row r="17">
      <c r="A17" s="17" t="inlineStr">
        <is>
          <t>Projet d'Implementation (CA)</t>
        </is>
      </c>
      <c r="B17" s="4">
        <f>B9*Assumptions!$B$17</f>
        <v/>
      </c>
      <c r="C17" s="4">
        <f>C9*Assumptions!$B$17</f>
        <v/>
      </c>
      <c r="D17" s="4">
        <f>D9*Assumptions!$B$17</f>
        <v/>
      </c>
      <c r="E17" s="4">
        <f>E9*Assumptions!$B$17</f>
        <v/>
      </c>
      <c r="F17" s="4">
        <f>F9*Assumptions!$B$17</f>
        <v/>
      </c>
      <c r="G17" s="4">
        <f>G9*Assumptions!$B$17</f>
        <v/>
      </c>
      <c r="H17" s="4">
        <f>H9*Assumptions!$B$17</f>
        <v/>
      </c>
      <c r="I17" s="4">
        <f>I9*Assumptions!$B$17</f>
        <v/>
      </c>
      <c r="J17" s="4">
        <f>J9*Assumptions!$B$17</f>
        <v/>
      </c>
      <c r="K17" s="4">
        <f>K9*Assumptions!$B$17</f>
        <v/>
      </c>
      <c r="L17" s="4">
        <f>L9*Assumptions!$B$17</f>
        <v/>
      </c>
      <c r="M17" s="4">
        <f>M9*Assumptions!$B$17</f>
        <v/>
      </c>
      <c r="N17" s="4">
        <f>N9*Assumptions!$B$17</f>
        <v/>
      </c>
      <c r="O17" s="4">
        <f>O9*Assumptions!$B$17</f>
        <v/>
      </c>
      <c r="P17" s="4">
        <f>P9*Assumptions!$B$17</f>
        <v/>
      </c>
      <c r="Q17" s="4">
        <f>Q9*Assumptions!$B$17</f>
        <v/>
      </c>
      <c r="R17" s="4">
        <f>R9*Assumptions!$B$17</f>
        <v/>
      </c>
      <c r="S17" s="4">
        <f>S9*Assumptions!$B$17</f>
        <v/>
      </c>
      <c r="T17" s="4">
        <f>T9*Assumptions!$B$17</f>
        <v/>
      </c>
      <c r="U17" s="4">
        <f>U9*Assumptions!$B$17</f>
        <v/>
      </c>
      <c r="V17" s="4">
        <f>V9*Assumptions!$B$17</f>
        <v/>
      </c>
      <c r="W17" s="4">
        <f>W9*Assumptions!$B$17</f>
        <v/>
      </c>
      <c r="X17" s="4">
        <f>X9*Assumptions!$B$17</f>
        <v/>
      </c>
      <c r="Y17" s="4">
        <f>Y9*Assumptions!$B$17</f>
        <v/>
      </c>
      <c r="Z17" s="4">
        <f>Z9*Assumptions!$B$17</f>
        <v/>
      </c>
      <c r="AA17" s="4">
        <f>AA9*Assumptions!$B$17</f>
        <v/>
      </c>
      <c r="AB17" s="4">
        <f>AB9*Assumptions!$B$17</f>
        <v/>
      </c>
      <c r="AC17" s="4">
        <f>AC9*Assumptions!$B$17</f>
        <v/>
      </c>
      <c r="AD17" s="4">
        <f>AD9*Assumptions!$B$17</f>
        <v/>
      </c>
      <c r="AE17" s="4">
        <f>AE9*Assumptions!$B$17</f>
        <v/>
      </c>
      <c r="AF17" s="4">
        <f>AF9*Assumptions!$B$17</f>
        <v/>
      </c>
      <c r="AG17" s="4">
        <f>AG9*Assumptions!$B$17</f>
        <v/>
      </c>
      <c r="AH17" s="4">
        <f>AH9*Assumptions!$B$17</f>
        <v/>
      </c>
      <c r="AI17" s="4">
        <f>AI9*Assumptions!$B$17</f>
        <v/>
      </c>
      <c r="AJ17" s="4">
        <f>AJ9*Assumptions!$B$17</f>
        <v/>
      </c>
      <c r="AK17" s="4">
        <f>AK9*Assumptions!$B$17</f>
        <v/>
      </c>
    </row>
    <row r="18">
      <c r="A18" s="17" t="inlineStr">
        <is>
          <t>Forge Retainer (Accompagnement) (CA)</t>
        </is>
      </c>
      <c r="B18" s="4">
        <f>B10*Assumptions!$B$18</f>
        <v/>
      </c>
      <c r="C18" s="4">
        <f>C10*Assumptions!$B$18</f>
        <v/>
      </c>
      <c r="D18" s="4">
        <f>D10*Assumptions!$B$18</f>
        <v/>
      </c>
      <c r="E18" s="4">
        <f>E10*Assumptions!$B$18</f>
        <v/>
      </c>
      <c r="F18" s="4">
        <f>F10*Assumptions!$B$18</f>
        <v/>
      </c>
      <c r="G18" s="4">
        <f>G10*Assumptions!$B$18</f>
        <v/>
      </c>
      <c r="H18" s="4">
        <f>H10*Assumptions!$B$18</f>
        <v/>
      </c>
      <c r="I18" s="4">
        <f>I10*Assumptions!$B$18</f>
        <v/>
      </c>
      <c r="J18" s="4">
        <f>J10*Assumptions!$B$18</f>
        <v/>
      </c>
      <c r="K18" s="4">
        <f>K10*Assumptions!$B$18</f>
        <v/>
      </c>
      <c r="L18" s="4">
        <f>L10*Assumptions!$B$18</f>
        <v/>
      </c>
      <c r="M18" s="4">
        <f>M10*Assumptions!$B$18</f>
        <v/>
      </c>
      <c r="N18" s="4">
        <f>N10*Assumptions!$B$18</f>
        <v/>
      </c>
      <c r="O18" s="4">
        <f>O10*Assumptions!$B$18</f>
        <v/>
      </c>
      <c r="P18" s="4">
        <f>P10*Assumptions!$B$18</f>
        <v/>
      </c>
      <c r="Q18" s="4">
        <f>Q10*Assumptions!$B$18</f>
        <v/>
      </c>
      <c r="R18" s="4">
        <f>R10*Assumptions!$B$18</f>
        <v/>
      </c>
      <c r="S18" s="4">
        <f>S10*Assumptions!$B$18</f>
        <v/>
      </c>
      <c r="T18" s="4">
        <f>T10*Assumptions!$B$18</f>
        <v/>
      </c>
      <c r="U18" s="4">
        <f>U10*Assumptions!$B$18</f>
        <v/>
      </c>
      <c r="V18" s="4">
        <f>V10*Assumptions!$B$18</f>
        <v/>
      </c>
      <c r="W18" s="4">
        <f>W10*Assumptions!$B$18</f>
        <v/>
      </c>
      <c r="X18" s="4">
        <f>X10*Assumptions!$B$18</f>
        <v/>
      </c>
      <c r="Y18" s="4">
        <f>Y10*Assumptions!$B$18</f>
        <v/>
      </c>
      <c r="Z18" s="4">
        <f>Z10*Assumptions!$B$18</f>
        <v/>
      </c>
      <c r="AA18" s="4">
        <f>AA10*Assumptions!$B$18</f>
        <v/>
      </c>
      <c r="AB18" s="4">
        <f>AB10*Assumptions!$B$18</f>
        <v/>
      </c>
      <c r="AC18" s="4">
        <f>AC10*Assumptions!$B$18</f>
        <v/>
      </c>
      <c r="AD18" s="4">
        <f>AD10*Assumptions!$B$18</f>
        <v/>
      </c>
      <c r="AE18" s="4">
        <f>AE10*Assumptions!$B$18</f>
        <v/>
      </c>
      <c r="AF18" s="4">
        <f>AF10*Assumptions!$B$18</f>
        <v/>
      </c>
      <c r="AG18" s="4">
        <f>AG10*Assumptions!$B$18</f>
        <v/>
      </c>
      <c r="AH18" s="4">
        <f>AH10*Assumptions!$B$18</f>
        <v/>
      </c>
      <c r="AI18" s="4">
        <f>AI10*Assumptions!$B$18</f>
        <v/>
      </c>
      <c r="AJ18" s="4">
        <f>AJ10*Assumptions!$B$18</f>
        <v/>
      </c>
      <c r="AK18" s="4">
        <f>AK10*Assumptions!$B$18</f>
        <v/>
      </c>
    </row>
    <row r="19">
      <c r="A19" s="17" t="inlineStr">
        <is>
          <t>Sovereign Retainer (R&amp;D) (CA)</t>
        </is>
      </c>
      <c r="B19" s="4">
        <f>B11*Assumptions!$B$19</f>
        <v/>
      </c>
      <c r="C19" s="4">
        <f>C11*Assumptions!$B$19</f>
        <v/>
      </c>
      <c r="D19" s="4">
        <f>D11*Assumptions!$B$19</f>
        <v/>
      </c>
      <c r="E19" s="4">
        <f>E11*Assumptions!$B$19</f>
        <v/>
      </c>
      <c r="F19" s="4">
        <f>F11*Assumptions!$B$19</f>
        <v/>
      </c>
      <c r="G19" s="4">
        <f>G11*Assumptions!$B$19</f>
        <v/>
      </c>
      <c r="H19" s="4">
        <f>H11*Assumptions!$B$19</f>
        <v/>
      </c>
      <c r="I19" s="4">
        <f>I11*Assumptions!$B$19</f>
        <v/>
      </c>
      <c r="J19" s="4">
        <f>J11*Assumptions!$B$19</f>
        <v/>
      </c>
      <c r="K19" s="4">
        <f>K11*Assumptions!$B$19</f>
        <v/>
      </c>
      <c r="L19" s="4">
        <f>L11*Assumptions!$B$19</f>
        <v/>
      </c>
      <c r="M19" s="4">
        <f>M11*Assumptions!$B$19</f>
        <v/>
      </c>
      <c r="N19" s="4">
        <f>N11*Assumptions!$B$19</f>
        <v/>
      </c>
      <c r="O19" s="4">
        <f>O11*Assumptions!$B$19</f>
        <v/>
      </c>
      <c r="P19" s="4">
        <f>P11*Assumptions!$B$19</f>
        <v/>
      </c>
      <c r="Q19" s="4">
        <f>Q11*Assumptions!$B$19</f>
        <v/>
      </c>
      <c r="R19" s="4">
        <f>R11*Assumptions!$B$19</f>
        <v/>
      </c>
      <c r="S19" s="4">
        <f>S11*Assumptions!$B$19</f>
        <v/>
      </c>
      <c r="T19" s="4">
        <f>T11*Assumptions!$B$19</f>
        <v/>
      </c>
      <c r="U19" s="4">
        <f>U11*Assumptions!$B$19</f>
        <v/>
      </c>
      <c r="V19" s="4">
        <f>V11*Assumptions!$B$19</f>
        <v/>
      </c>
      <c r="W19" s="4">
        <f>W11*Assumptions!$B$19</f>
        <v/>
      </c>
      <c r="X19" s="4">
        <f>X11*Assumptions!$B$19</f>
        <v/>
      </c>
      <c r="Y19" s="4">
        <f>Y11*Assumptions!$B$19</f>
        <v/>
      </c>
      <c r="Z19" s="4">
        <f>Z11*Assumptions!$B$19</f>
        <v/>
      </c>
      <c r="AA19" s="4">
        <f>AA11*Assumptions!$B$19</f>
        <v/>
      </c>
      <c r="AB19" s="4">
        <f>AB11*Assumptions!$B$19</f>
        <v/>
      </c>
      <c r="AC19" s="4">
        <f>AC11*Assumptions!$B$19</f>
        <v/>
      </c>
      <c r="AD19" s="4">
        <f>AD11*Assumptions!$B$19</f>
        <v/>
      </c>
      <c r="AE19" s="4">
        <f>AE11*Assumptions!$B$19</f>
        <v/>
      </c>
      <c r="AF19" s="4">
        <f>AF11*Assumptions!$B$19</f>
        <v/>
      </c>
      <c r="AG19" s="4">
        <f>AG11*Assumptions!$B$19</f>
        <v/>
      </c>
      <c r="AH19" s="4">
        <f>AH11*Assumptions!$B$19</f>
        <v/>
      </c>
      <c r="AI19" s="4">
        <f>AI11*Assumptions!$B$19</f>
        <v/>
      </c>
      <c r="AJ19" s="4">
        <f>AJ11*Assumptions!$B$19</f>
        <v/>
      </c>
      <c r="AK19" s="4">
        <f>AK11*Assumptions!$B$19</f>
        <v/>
      </c>
    </row>
    <row r="20">
      <c r="A20" s="17" t="inlineStr">
        <is>
          <t>Dossier Sovereign (CA)</t>
        </is>
      </c>
      <c r="B20" s="4">
        <f>B12*Assumptions!$B$20</f>
        <v/>
      </c>
      <c r="C20" s="4">
        <f>C12*Assumptions!$B$20</f>
        <v/>
      </c>
      <c r="D20" s="4">
        <f>D12*Assumptions!$B$20</f>
        <v/>
      </c>
      <c r="E20" s="4">
        <f>E12*Assumptions!$B$20</f>
        <v/>
      </c>
      <c r="F20" s="4">
        <f>F12*Assumptions!$B$20</f>
        <v/>
      </c>
      <c r="G20" s="4">
        <f>G12*Assumptions!$B$20</f>
        <v/>
      </c>
      <c r="H20" s="4">
        <f>H12*Assumptions!$B$20</f>
        <v/>
      </c>
      <c r="I20" s="4">
        <f>I12*Assumptions!$B$20</f>
        <v/>
      </c>
      <c r="J20" s="4">
        <f>J12*Assumptions!$B$20</f>
        <v/>
      </c>
      <c r="K20" s="4">
        <f>K12*Assumptions!$B$20</f>
        <v/>
      </c>
      <c r="L20" s="4">
        <f>L12*Assumptions!$B$20</f>
        <v/>
      </c>
      <c r="M20" s="4">
        <f>M12*Assumptions!$B$20</f>
        <v/>
      </c>
      <c r="N20" s="4">
        <f>N12*Assumptions!$B$20</f>
        <v/>
      </c>
      <c r="O20" s="4">
        <f>O12*Assumptions!$B$20</f>
        <v/>
      </c>
      <c r="P20" s="4">
        <f>P12*Assumptions!$B$20</f>
        <v/>
      </c>
      <c r="Q20" s="4">
        <f>Q12*Assumptions!$B$20</f>
        <v/>
      </c>
      <c r="R20" s="4">
        <f>R12*Assumptions!$B$20</f>
        <v/>
      </c>
      <c r="S20" s="4">
        <f>S12*Assumptions!$B$20</f>
        <v/>
      </c>
      <c r="T20" s="4">
        <f>T12*Assumptions!$B$20</f>
        <v/>
      </c>
      <c r="U20" s="4">
        <f>U12*Assumptions!$B$20</f>
        <v/>
      </c>
      <c r="V20" s="4">
        <f>V12*Assumptions!$B$20</f>
        <v/>
      </c>
      <c r="W20" s="4">
        <f>W12*Assumptions!$B$20</f>
        <v/>
      </c>
      <c r="X20" s="4">
        <f>X12*Assumptions!$B$20</f>
        <v/>
      </c>
      <c r="Y20" s="4">
        <f>Y12*Assumptions!$B$20</f>
        <v/>
      </c>
      <c r="Z20" s="4">
        <f>Z12*Assumptions!$B$20</f>
        <v/>
      </c>
      <c r="AA20" s="4">
        <f>AA12*Assumptions!$B$20</f>
        <v/>
      </c>
      <c r="AB20" s="4">
        <f>AB12*Assumptions!$B$20</f>
        <v/>
      </c>
      <c r="AC20" s="4">
        <f>AC12*Assumptions!$B$20</f>
        <v/>
      </c>
      <c r="AD20" s="4">
        <f>AD12*Assumptions!$B$20</f>
        <v/>
      </c>
      <c r="AE20" s="4">
        <f>AE12*Assumptions!$B$20</f>
        <v/>
      </c>
      <c r="AF20" s="4">
        <f>AF12*Assumptions!$B$20</f>
        <v/>
      </c>
      <c r="AG20" s="4">
        <f>AG12*Assumptions!$B$20</f>
        <v/>
      </c>
      <c r="AH20" s="4">
        <f>AH12*Assumptions!$B$20</f>
        <v/>
      </c>
      <c r="AI20" s="4">
        <f>AI12*Assumptions!$B$20</f>
        <v/>
      </c>
      <c r="AJ20" s="4">
        <f>AJ12*Assumptions!$B$20</f>
        <v/>
      </c>
      <c r="AK20" s="4">
        <f>AK12*Assumptions!$B$20</f>
        <v/>
      </c>
    </row>
    <row r="21">
      <c r="A21" s="17" t="n"/>
    </row>
    <row r="22">
      <c r="A22" s="17" t="n"/>
    </row>
    <row r="23">
      <c r="A23" s="17" t="inlineStr">
        <is>
          <t>Audit / Diagnostic (Cout direct)</t>
        </is>
      </c>
      <c r="B23" s="4">
        <f>B15*Assumptions!$C$15</f>
        <v/>
      </c>
      <c r="C23" s="4">
        <f>C15*Assumptions!$C$15</f>
        <v/>
      </c>
      <c r="D23" s="4">
        <f>D15*Assumptions!$C$15</f>
        <v/>
      </c>
      <c r="E23" s="4">
        <f>E15*Assumptions!$C$15</f>
        <v/>
      </c>
      <c r="F23" s="4">
        <f>F15*Assumptions!$C$15</f>
        <v/>
      </c>
      <c r="G23" s="4">
        <f>G15*Assumptions!$C$15</f>
        <v/>
      </c>
      <c r="H23" s="4">
        <f>H15*Assumptions!$C$15</f>
        <v/>
      </c>
      <c r="I23" s="4">
        <f>I15*Assumptions!$C$15</f>
        <v/>
      </c>
      <c r="J23" s="4">
        <f>J15*Assumptions!$C$15</f>
        <v/>
      </c>
      <c r="K23" s="4">
        <f>K15*Assumptions!$C$15</f>
        <v/>
      </c>
      <c r="L23" s="4">
        <f>L15*Assumptions!$C$15</f>
        <v/>
      </c>
      <c r="M23" s="4">
        <f>M15*Assumptions!$C$15</f>
        <v/>
      </c>
      <c r="N23" s="4">
        <f>N15*Assumptions!$C$15</f>
        <v/>
      </c>
      <c r="O23" s="4">
        <f>O15*Assumptions!$C$15</f>
        <v/>
      </c>
      <c r="P23" s="4">
        <f>P15*Assumptions!$C$15</f>
        <v/>
      </c>
      <c r="Q23" s="4">
        <f>Q15*Assumptions!$C$15</f>
        <v/>
      </c>
      <c r="R23" s="4">
        <f>R15*Assumptions!$C$15</f>
        <v/>
      </c>
      <c r="S23" s="4">
        <f>S15*Assumptions!$C$15</f>
        <v/>
      </c>
      <c r="T23" s="4">
        <f>T15*Assumptions!$C$15</f>
        <v/>
      </c>
      <c r="U23" s="4">
        <f>U15*Assumptions!$C$15</f>
        <v/>
      </c>
      <c r="V23" s="4">
        <f>V15*Assumptions!$C$15</f>
        <v/>
      </c>
      <c r="W23" s="4">
        <f>W15*Assumptions!$C$15</f>
        <v/>
      </c>
      <c r="X23" s="4">
        <f>X15*Assumptions!$C$15</f>
        <v/>
      </c>
      <c r="Y23" s="4">
        <f>Y15*Assumptions!$C$15</f>
        <v/>
      </c>
      <c r="Z23" s="4">
        <f>Z15*Assumptions!$C$15</f>
        <v/>
      </c>
      <c r="AA23" s="4">
        <f>AA15*Assumptions!$C$15</f>
        <v/>
      </c>
      <c r="AB23" s="4">
        <f>AB15*Assumptions!$C$15</f>
        <v/>
      </c>
      <c r="AC23" s="4">
        <f>AC15*Assumptions!$C$15</f>
        <v/>
      </c>
      <c r="AD23" s="4">
        <f>AD15*Assumptions!$C$15</f>
        <v/>
      </c>
      <c r="AE23" s="4">
        <f>AE15*Assumptions!$C$15</f>
        <v/>
      </c>
      <c r="AF23" s="4">
        <f>AF15*Assumptions!$C$15</f>
        <v/>
      </c>
      <c r="AG23" s="4">
        <f>AG15*Assumptions!$C$15</f>
        <v/>
      </c>
      <c r="AH23" s="4">
        <f>AH15*Assumptions!$C$15</f>
        <v/>
      </c>
      <c r="AI23" s="4">
        <f>AI15*Assumptions!$C$15</f>
        <v/>
      </c>
      <c r="AJ23" s="4">
        <f>AJ15*Assumptions!$C$15</f>
        <v/>
      </c>
      <c r="AK23" s="4">
        <f>AK15*Assumptions!$C$15</f>
        <v/>
      </c>
    </row>
    <row r="24">
      <c r="A24" s="17" t="inlineStr">
        <is>
          <t>Sprint d'Efficience (Cout direct)</t>
        </is>
      </c>
      <c r="B24" s="4">
        <f>B16*Assumptions!$C$16</f>
        <v/>
      </c>
      <c r="C24" s="4">
        <f>C16*Assumptions!$C$16</f>
        <v/>
      </c>
      <c r="D24" s="4">
        <f>D16*Assumptions!$C$16</f>
        <v/>
      </c>
      <c r="E24" s="4">
        <f>E16*Assumptions!$C$16</f>
        <v/>
      </c>
      <c r="F24" s="4">
        <f>F16*Assumptions!$C$16</f>
        <v/>
      </c>
      <c r="G24" s="4">
        <f>G16*Assumptions!$C$16</f>
        <v/>
      </c>
      <c r="H24" s="4">
        <f>H16*Assumptions!$C$16</f>
        <v/>
      </c>
      <c r="I24" s="4">
        <f>I16*Assumptions!$C$16</f>
        <v/>
      </c>
      <c r="J24" s="4">
        <f>J16*Assumptions!$C$16</f>
        <v/>
      </c>
      <c r="K24" s="4">
        <f>K16*Assumptions!$C$16</f>
        <v/>
      </c>
      <c r="L24" s="4">
        <f>L16*Assumptions!$C$16</f>
        <v/>
      </c>
      <c r="M24" s="4">
        <f>M16*Assumptions!$C$16</f>
        <v/>
      </c>
      <c r="N24" s="4">
        <f>N16*Assumptions!$C$16</f>
        <v/>
      </c>
      <c r="O24" s="4">
        <f>O16*Assumptions!$C$16</f>
        <v/>
      </c>
      <c r="P24" s="4">
        <f>P16*Assumptions!$C$16</f>
        <v/>
      </c>
      <c r="Q24" s="4">
        <f>Q16*Assumptions!$C$16</f>
        <v/>
      </c>
      <c r="R24" s="4">
        <f>R16*Assumptions!$C$16</f>
        <v/>
      </c>
      <c r="S24" s="4">
        <f>S16*Assumptions!$C$16</f>
        <v/>
      </c>
      <c r="T24" s="4">
        <f>T16*Assumptions!$C$16</f>
        <v/>
      </c>
      <c r="U24" s="4">
        <f>U16*Assumptions!$C$16</f>
        <v/>
      </c>
      <c r="V24" s="4">
        <f>V16*Assumptions!$C$16</f>
        <v/>
      </c>
      <c r="W24" s="4">
        <f>W16*Assumptions!$C$16</f>
        <v/>
      </c>
      <c r="X24" s="4">
        <f>X16*Assumptions!$C$16</f>
        <v/>
      </c>
      <c r="Y24" s="4">
        <f>Y16*Assumptions!$C$16</f>
        <v/>
      </c>
      <c r="Z24" s="4">
        <f>Z16*Assumptions!$C$16</f>
        <v/>
      </c>
      <c r="AA24" s="4">
        <f>AA16*Assumptions!$C$16</f>
        <v/>
      </c>
      <c r="AB24" s="4">
        <f>AB16*Assumptions!$C$16</f>
        <v/>
      </c>
      <c r="AC24" s="4">
        <f>AC16*Assumptions!$C$16</f>
        <v/>
      </c>
      <c r="AD24" s="4">
        <f>AD16*Assumptions!$C$16</f>
        <v/>
      </c>
      <c r="AE24" s="4">
        <f>AE16*Assumptions!$C$16</f>
        <v/>
      </c>
      <c r="AF24" s="4">
        <f>AF16*Assumptions!$C$16</f>
        <v/>
      </c>
      <c r="AG24" s="4">
        <f>AG16*Assumptions!$C$16</f>
        <v/>
      </c>
      <c r="AH24" s="4">
        <f>AH16*Assumptions!$C$16</f>
        <v/>
      </c>
      <c r="AI24" s="4">
        <f>AI16*Assumptions!$C$16</f>
        <v/>
      </c>
      <c r="AJ24" s="4">
        <f>AJ16*Assumptions!$C$16</f>
        <v/>
      </c>
      <c r="AK24" s="4">
        <f>AK16*Assumptions!$C$16</f>
        <v/>
      </c>
    </row>
    <row r="25">
      <c r="A25" s="17" t="inlineStr">
        <is>
          <t>Projet d'Implementation (Cout direct)</t>
        </is>
      </c>
      <c r="B25" s="4">
        <f>B17*Assumptions!$C$17</f>
        <v/>
      </c>
      <c r="C25" s="4">
        <f>C17*Assumptions!$C$17</f>
        <v/>
      </c>
      <c r="D25" s="4">
        <f>D17*Assumptions!$C$17</f>
        <v/>
      </c>
      <c r="E25" s="4">
        <f>E17*Assumptions!$C$17</f>
        <v/>
      </c>
      <c r="F25" s="4">
        <f>F17*Assumptions!$C$17</f>
        <v/>
      </c>
      <c r="G25" s="4">
        <f>G17*Assumptions!$C$17</f>
        <v/>
      </c>
      <c r="H25" s="4">
        <f>H17*Assumptions!$C$17</f>
        <v/>
      </c>
      <c r="I25" s="4">
        <f>I17*Assumptions!$C$17</f>
        <v/>
      </c>
      <c r="J25" s="4">
        <f>J17*Assumptions!$C$17</f>
        <v/>
      </c>
      <c r="K25" s="4">
        <f>K17*Assumptions!$C$17</f>
        <v/>
      </c>
      <c r="L25" s="4">
        <f>L17*Assumptions!$C$17</f>
        <v/>
      </c>
      <c r="M25" s="4">
        <f>M17*Assumptions!$C$17</f>
        <v/>
      </c>
      <c r="N25" s="4">
        <f>N17*Assumptions!$C$17</f>
        <v/>
      </c>
      <c r="O25" s="4">
        <f>O17*Assumptions!$C$17</f>
        <v/>
      </c>
      <c r="P25" s="4">
        <f>P17*Assumptions!$C$17</f>
        <v/>
      </c>
      <c r="Q25" s="4">
        <f>Q17*Assumptions!$C$17</f>
        <v/>
      </c>
      <c r="R25" s="4">
        <f>R17*Assumptions!$C$17</f>
        <v/>
      </c>
      <c r="S25" s="4">
        <f>S17*Assumptions!$C$17</f>
        <v/>
      </c>
      <c r="T25" s="4">
        <f>T17*Assumptions!$C$17</f>
        <v/>
      </c>
      <c r="U25" s="4">
        <f>U17*Assumptions!$C$17</f>
        <v/>
      </c>
      <c r="V25" s="4">
        <f>V17*Assumptions!$C$17</f>
        <v/>
      </c>
      <c r="W25" s="4">
        <f>W17*Assumptions!$C$17</f>
        <v/>
      </c>
      <c r="X25" s="4">
        <f>X17*Assumptions!$C$17</f>
        <v/>
      </c>
      <c r="Y25" s="4">
        <f>Y17*Assumptions!$C$17</f>
        <v/>
      </c>
      <c r="Z25" s="4">
        <f>Z17*Assumptions!$C$17</f>
        <v/>
      </c>
      <c r="AA25" s="4">
        <f>AA17*Assumptions!$C$17</f>
        <v/>
      </c>
      <c r="AB25" s="4">
        <f>AB17*Assumptions!$C$17</f>
        <v/>
      </c>
      <c r="AC25" s="4">
        <f>AC17*Assumptions!$C$17</f>
        <v/>
      </c>
      <c r="AD25" s="4">
        <f>AD17*Assumptions!$C$17</f>
        <v/>
      </c>
      <c r="AE25" s="4">
        <f>AE17*Assumptions!$C$17</f>
        <v/>
      </c>
      <c r="AF25" s="4">
        <f>AF17*Assumptions!$C$17</f>
        <v/>
      </c>
      <c r="AG25" s="4">
        <f>AG17*Assumptions!$C$17</f>
        <v/>
      </c>
      <c r="AH25" s="4">
        <f>AH17*Assumptions!$C$17</f>
        <v/>
      </c>
      <c r="AI25" s="4">
        <f>AI17*Assumptions!$C$17</f>
        <v/>
      </c>
      <c r="AJ25" s="4">
        <f>AJ17*Assumptions!$C$17</f>
        <v/>
      </c>
      <c r="AK25" s="4">
        <f>AK17*Assumptions!$C$17</f>
        <v/>
      </c>
    </row>
    <row r="26">
      <c r="A26" s="17" t="inlineStr">
        <is>
          <t>Forge Retainer (Accompagnement) (Cout direct)</t>
        </is>
      </c>
      <c r="B26" s="4">
        <f>B18*Assumptions!$C$18</f>
        <v/>
      </c>
      <c r="C26" s="4">
        <f>C18*Assumptions!$C$18</f>
        <v/>
      </c>
      <c r="D26" s="4">
        <f>D18*Assumptions!$C$18</f>
        <v/>
      </c>
      <c r="E26" s="4">
        <f>E18*Assumptions!$C$18</f>
        <v/>
      </c>
      <c r="F26" s="4">
        <f>F18*Assumptions!$C$18</f>
        <v/>
      </c>
      <c r="G26" s="4">
        <f>G18*Assumptions!$C$18</f>
        <v/>
      </c>
      <c r="H26" s="4">
        <f>H18*Assumptions!$C$18</f>
        <v/>
      </c>
      <c r="I26" s="4">
        <f>I18*Assumptions!$C$18</f>
        <v/>
      </c>
      <c r="J26" s="4">
        <f>J18*Assumptions!$C$18</f>
        <v/>
      </c>
      <c r="K26" s="4">
        <f>K18*Assumptions!$C$18</f>
        <v/>
      </c>
      <c r="L26" s="4">
        <f>L18*Assumptions!$C$18</f>
        <v/>
      </c>
      <c r="M26" s="4">
        <f>M18*Assumptions!$C$18</f>
        <v/>
      </c>
      <c r="N26" s="4">
        <f>N18*Assumptions!$C$18</f>
        <v/>
      </c>
      <c r="O26" s="4">
        <f>O18*Assumptions!$C$18</f>
        <v/>
      </c>
      <c r="P26" s="4">
        <f>P18*Assumptions!$C$18</f>
        <v/>
      </c>
      <c r="Q26" s="4">
        <f>Q18*Assumptions!$C$18</f>
        <v/>
      </c>
      <c r="R26" s="4">
        <f>R18*Assumptions!$C$18</f>
        <v/>
      </c>
      <c r="S26" s="4">
        <f>S18*Assumptions!$C$18</f>
        <v/>
      </c>
      <c r="T26" s="4">
        <f>T18*Assumptions!$C$18</f>
        <v/>
      </c>
      <c r="U26" s="4">
        <f>U18*Assumptions!$C$18</f>
        <v/>
      </c>
      <c r="V26" s="4">
        <f>V18*Assumptions!$C$18</f>
        <v/>
      </c>
      <c r="W26" s="4">
        <f>W18*Assumptions!$C$18</f>
        <v/>
      </c>
      <c r="X26" s="4">
        <f>X18*Assumptions!$C$18</f>
        <v/>
      </c>
      <c r="Y26" s="4">
        <f>Y18*Assumptions!$C$18</f>
        <v/>
      </c>
      <c r="Z26" s="4">
        <f>Z18*Assumptions!$C$18</f>
        <v/>
      </c>
      <c r="AA26" s="4">
        <f>AA18*Assumptions!$C$18</f>
        <v/>
      </c>
      <c r="AB26" s="4">
        <f>AB18*Assumptions!$C$18</f>
        <v/>
      </c>
      <c r="AC26" s="4">
        <f>AC18*Assumptions!$C$18</f>
        <v/>
      </c>
      <c r="AD26" s="4">
        <f>AD18*Assumptions!$C$18</f>
        <v/>
      </c>
      <c r="AE26" s="4">
        <f>AE18*Assumptions!$C$18</f>
        <v/>
      </c>
      <c r="AF26" s="4">
        <f>AF18*Assumptions!$C$18</f>
        <v/>
      </c>
      <c r="AG26" s="4">
        <f>AG18*Assumptions!$C$18</f>
        <v/>
      </c>
      <c r="AH26" s="4">
        <f>AH18*Assumptions!$C$18</f>
        <v/>
      </c>
      <c r="AI26" s="4">
        <f>AI18*Assumptions!$C$18</f>
        <v/>
      </c>
      <c r="AJ26" s="4">
        <f>AJ18*Assumptions!$C$18</f>
        <v/>
      </c>
      <c r="AK26" s="4">
        <f>AK18*Assumptions!$C$18</f>
        <v/>
      </c>
    </row>
    <row r="27">
      <c r="A27" s="17" t="inlineStr">
        <is>
          <t>Sovereign Retainer (R&amp;D) (Cout direct)</t>
        </is>
      </c>
      <c r="B27" s="4">
        <f>B19*Assumptions!$C$19</f>
        <v/>
      </c>
      <c r="C27" s="4">
        <f>C19*Assumptions!$C$19</f>
        <v/>
      </c>
      <c r="D27" s="4">
        <f>D19*Assumptions!$C$19</f>
        <v/>
      </c>
      <c r="E27" s="4">
        <f>E19*Assumptions!$C$19</f>
        <v/>
      </c>
      <c r="F27" s="4">
        <f>F19*Assumptions!$C$19</f>
        <v/>
      </c>
      <c r="G27" s="4">
        <f>G19*Assumptions!$C$19</f>
        <v/>
      </c>
      <c r="H27" s="4">
        <f>H19*Assumptions!$C$19</f>
        <v/>
      </c>
      <c r="I27" s="4">
        <f>I19*Assumptions!$C$19</f>
        <v/>
      </c>
      <c r="J27" s="4">
        <f>J19*Assumptions!$C$19</f>
        <v/>
      </c>
      <c r="K27" s="4">
        <f>K19*Assumptions!$C$19</f>
        <v/>
      </c>
      <c r="L27" s="4">
        <f>L19*Assumptions!$C$19</f>
        <v/>
      </c>
      <c r="M27" s="4">
        <f>M19*Assumptions!$C$19</f>
        <v/>
      </c>
      <c r="N27" s="4">
        <f>N19*Assumptions!$C$19</f>
        <v/>
      </c>
      <c r="O27" s="4">
        <f>O19*Assumptions!$C$19</f>
        <v/>
      </c>
      <c r="P27" s="4">
        <f>P19*Assumptions!$C$19</f>
        <v/>
      </c>
      <c r="Q27" s="4">
        <f>Q19*Assumptions!$C$19</f>
        <v/>
      </c>
      <c r="R27" s="4">
        <f>R19*Assumptions!$C$19</f>
        <v/>
      </c>
      <c r="S27" s="4">
        <f>S19*Assumptions!$C$19</f>
        <v/>
      </c>
      <c r="T27" s="4">
        <f>T19*Assumptions!$C$19</f>
        <v/>
      </c>
      <c r="U27" s="4">
        <f>U19*Assumptions!$C$19</f>
        <v/>
      </c>
      <c r="V27" s="4">
        <f>V19*Assumptions!$C$19</f>
        <v/>
      </c>
      <c r="W27" s="4">
        <f>W19*Assumptions!$C$19</f>
        <v/>
      </c>
      <c r="X27" s="4">
        <f>X19*Assumptions!$C$19</f>
        <v/>
      </c>
      <c r="Y27" s="4">
        <f>Y19*Assumptions!$C$19</f>
        <v/>
      </c>
      <c r="Z27" s="4">
        <f>Z19*Assumptions!$C$19</f>
        <v/>
      </c>
      <c r="AA27" s="4">
        <f>AA19*Assumptions!$C$19</f>
        <v/>
      </c>
      <c r="AB27" s="4">
        <f>AB19*Assumptions!$C$19</f>
        <v/>
      </c>
      <c r="AC27" s="4">
        <f>AC19*Assumptions!$C$19</f>
        <v/>
      </c>
      <c r="AD27" s="4">
        <f>AD19*Assumptions!$C$19</f>
        <v/>
      </c>
      <c r="AE27" s="4">
        <f>AE19*Assumptions!$C$19</f>
        <v/>
      </c>
      <c r="AF27" s="4">
        <f>AF19*Assumptions!$C$19</f>
        <v/>
      </c>
      <c r="AG27" s="4">
        <f>AG19*Assumptions!$C$19</f>
        <v/>
      </c>
      <c r="AH27" s="4">
        <f>AH19*Assumptions!$C$19</f>
        <v/>
      </c>
      <c r="AI27" s="4">
        <f>AI19*Assumptions!$C$19</f>
        <v/>
      </c>
      <c r="AJ27" s="4">
        <f>AJ19*Assumptions!$C$19</f>
        <v/>
      </c>
      <c r="AK27" s="4">
        <f>AK19*Assumptions!$C$19</f>
        <v/>
      </c>
    </row>
    <row r="28">
      <c r="A28" s="17" t="inlineStr">
        <is>
          <t>Dossier Sovereign (Cout direct)</t>
        </is>
      </c>
      <c r="B28" s="4">
        <f>B20*Assumptions!$C$20</f>
        <v/>
      </c>
      <c r="C28" s="4">
        <f>C20*Assumptions!$C$20</f>
        <v/>
      </c>
      <c r="D28" s="4">
        <f>D20*Assumptions!$C$20</f>
        <v/>
      </c>
      <c r="E28" s="4">
        <f>E20*Assumptions!$C$20</f>
        <v/>
      </c>
      <c r="F28" s="4">
        <f>F20*Assumptions!$C$20</f>
        <v/>
      </c>
      <c r="G28" s="4">
        <f>G20*Assumptions!$C$20</f>
        <v/>
      </c>
      <c r="H28" s="4">
        <f>H20*Assumptions!$C$20</f>
        <v/>
      </c>
      <c r="I28" s="4">
        <f>I20*Assumptions!$C$20</f>
        <v/>
      </c>
      <c r="J28" s="4">
        <f>J20*Assumptions!$C$20</f>
        <v/>
      </c>
      <c r="K28" s="4">
        <f>K20*Assumptions!$C$20</f>
        <v/>
      </c>
      <c r="L28" s="4">
        <f>L20*Assumptions!$C$20</f>
        <v/>
      </c>
      <c r="M28" s="4">
        <f>M20*Assumptions!$C$20</f>
        <v/>
      </c>
      <c r="N28" s="4">
        <f>N20*Assumptions!$C$20</f>
        <v/>
      </c>
      <c r="O28" s="4">
        <f>O20*Assumptions!$C$20</f>
        <v/>
      </c>
      <c r="P28" s="4">
        <f>P20*Assumptions!$C$20</f>
        <v/>
      </c>
      <c r="Q28" s="4">
        <f>Q20*Assumptions!$C$20</f>
        <v/>
      </c>
      <c r="R28" s="4">
        <f>R20*Assumptions!$C$20</f>
        <v/>
      </c>
      <c r="S28" s="4">
        <f>S20*Assumptions!$C$20</f>
        <v/>
      </c>
      <c r="T28" s="4">
        <f>T20*Assumptions!$C$20</f>
        <v/>
      </c>
      <c r="U28" s="4">
        <f>U20*Assumptions!$C$20</f>
        <v/>
      </c>
      <c r="V28" s="4">
        <f>V20*Assumptions!$C$20</f>
        <v/>
      </c>
      <c r="W28" s="4">
        <f>W20*Assumptions!$C$20</f>
        <v/>
      </c>
      <c r="X28" s="4">
        <f>X20*Assumptions!$C$20</f>
        <v/>
      </c>
      <c r="Y28" s="4">
        <f>Y20*Assumptions!$C$20</f>
        <v/>
      </c>
      <c r="Z28" s="4">
        <f>Z20*Assumptions!$C$20</f>
        <v/>
      </c>
      <c r="AA28" s="4">
        <f>AA20*Assumptions!$C$20</f>
        <v/>
      </c>
      <c r="AB28" s="4">
        <f>AB20*Assumptions!$C$20</f>
        <v/>
      </c>
      <c r="AC28" s="4">
        <f>AC20*Assumptions!$C$20</f>
        <v/>
      </c>
      <c r="AD28" s="4">
        <f>AD20*Assumptions!$C$20</f>
        <v/>
      </c>
      <c r="AE28" s="4">
        <f>AE20*Assumptions!$C$20</f>
        <v/>
      </c>
      <c r="AF28" s="4">
        <f>AF20*Assumptions!$C$20</f>
        <v/>
      </c>
      <c r="AG28" s="4">
        <f>AG20*Assumptions!$C$20</f>
        <v/>
      </c>
      <c r="AH28" s="4">
        <f>AH20*Assumptions!$C$20</f>
        <v/>
      </c>
      <c r="AI28" s="4">
        <f>AI20*Assumptions!$C$20</f>
        <v/>
      </c>
      <c r="AJ28" s="4">
        <f>AJ20*Assumptions!$C$20</f>
        <v/>
      </c>
      <c r="AK28" s="4">
        <f>AK20*Assumptions!$C$20</f>
        <v/>
      </c>
    </row>
    <row r="29">
      <c r="A29" s="17" t="n"/>
    </row>
    <row r="30">
      <c r="A30" s="17" t="n"/>
    </row>
    <row r="31">
      <c r="A31" s="17" t="n"/>
    </row>
    <row r="32">
      <c r="A32" s="3" t="inlineStr">
        <is>
          <t>Chiffre d'Affaires global</t>
        </is>
      </c>
      <c r="B32" s="4">
        <f>SUM(B15:B20)</f>
        <v/>
      </c>
      <c r="C32" s="4">
        <f>SUM(C15:C20)</f>
        <v/>
      </c>
      <c r="D32" s="4">
        <f>SUM(D15:D20)</f>
        <v/>
      </c>
      <c r="E32" s="4">
        <f>SUM(E15:E20)</f>
        <v/>
      </c>
      <c r="F32" s="4">
        <f>SUM(F15:F20)</f>
        <v/>
      </c>
      <c r="G32" s="4">
        <f>SUM(G15:G20)</f>
        <v/>
      </c>
      <c r="H32" s="4">
        <f>SUM(H15:H20)</f>
        <v/>
      </c>
      <c r="I32" s="4">
        <f>SUM(I15:I20)</f>
        <v/>
      </c>
      <c r="J32" s="4">
        <f>SUM(J15:J20)</f>
        <v/>
      </c>
      <c r="K32" s="4">
        <f>SUM(K15:K20)</f>
        <v/>
      </c>
      <c r="L32" s="4">
        <f>SUM(L15:L20)</f>
        <v/>
      </c>
      <c r="M32" s="4">
        <f>SUM(M15:M20)</f>
        <v/>
      </c>
      <c r="N32" s="4">
        <f>SUM(N15:N20)</f>
        <v/>
      </c>
      <c r="O32" s="4">
        <f>SUM(O15:O20)</f>
        <v/>
      </c>
      <c r="P32" s="4">
        <f>SUM(P15:P20)</f>
        <v/>
      </c>
      <c r="Q32" s="4">
        <f>SUM(Q15:Q20)</f>
        <v/>
      </c>
      <c r="R32" s="4">
        <f>SUM(R15:R20)</f>
        <v/>
      </c>
      <c r="S32" s="4">
        <f>SUM(S15:S20)</f>
        <v/>
      </c>
      <c r="T32" s="4">
        <f>SUM(T15:T20)</f>
        <v/>
      </c>
      <c r="U32" s="4">
        <f>SUM(U15:U20)</f>
        <v/>
      </c>
      <c r="V32" s="4">
        <f>SUM(V15:V20)</f>
        <v/>
      </c>
      <c r="W32" s="4">
        <f>SUM(W15:W20)</f>
        <v/>
      </c>
      <c r="X32" s="4">
        <f>SUM(X15:X20)</f>
        <v/>
      </c>
      <c r="Y32" s="4">
        <f>SUM(Y15:Y20)</f>
        <v/>
      </c>
      <c r="Z32" s="4">
        <f>SUM(Z15:Z20)</f>
        <v/>
      </c>
      <c r="AA32" s="4">
        <f>SUM(AA15:AA20)</f>
        <v/>
      </c>
      <c r="AB32" s="4">
        <f>SUM(AB15:AB20)</f>
        <v/>
      </c>
      <c r="AC32" s="4">
        <f>SUM(AC15:AC20)</f>
        <v/>
      </c>
      <c r="AD32" s="4">
        <f>SUM(AD15:AD20)</f>
        <v/>
      </c>
      <c r="AE32" s="4">
        <f>SUM(AE15:AE20)</f>
        <v/>
      </c>
      <c r="AF32" s="4">
        <f>SUM(AF15:AF20)</f>
        <v/>
      </c>
      <c r="AG32" s="4">
        <f>SUM(AG15:AG20)</f>
        <v/>
      </c>
      <c r="AH32" s="4">
        <f>SUM(AH15:AH20)</f>
        <v/>
      </c>
      <c r="AI32" s="4">
        <f>SUM(AI15:AI20)</f>
        <v/>
      </c>
      <c r="AJ32" s="4">
        <f>SUM(AJ15:AJ20)</f>
        <v/>
      </c>
      <c r="AK32" s="4">
        <f>SUM(AK15:AK20)</f>
        <v/>
      </c>
    </row>
    <row r="33">
      <c r="A33" s="3" t="inlineStr">
        <is>
          <t>Cout direct total</t>
        </is>
      </c>
      <c r="B33" s="4">
        <f>SUM(B23:B28)</f>
        <v/>
      </c>
      <c r="C33" s="4">
        <f>SUM(C23:C28)</f>
        <v/>
      </c>
      <c r="D33" s="4">
        <f>SUM(D23:D28)</f>
        <v/>
      </c>
      <c r="E33" s="4">
        <f>SUM(E23:E28)</f>
        <v/>
      </c>
      <c r="F33" s="4">
        <f>SUM(F23:F28)</f>
        <v/>
      </c>
      <c r="G33" s="4">
        <f>SUM(G23:G28)</f>
        <v/>
      </c>
      <c r="H33" s="4">
        <f>SUM(H23:H28)</f>
        <v/>
      </c>
      <c r="I33" s="4">
        <f>SUM(I23:I28)</f>
        <v/>
      </c>
      <c r="J33" s="4">
        <f>SUM(J23:J28)</f>
        <v/>
      </c>
      <c r="K33" s="4">
        <f>SUM(K23:K28)</f>
        <v/>
      </c>
      <c r="L33" s="4">
        <f>SUM(L23:L28)</f>
        <v/>
      </c>
      <c r="M33" s="4">
        <f>SUM(M23:M28)</f>
        <v/>
      </c>
      <c r="N33" s="4">
        <f>SUM(N23:N28)</f>
        <v/>
      </c>
      <c r="O33" s="4">
        <f>SUM(O23:O28)</f>
        <v/>
      </c>
      <c r="P33" s="4">
        <f>SUM(P23:P28)</f>
        <v/>
      </c>
      <c r="Q33" s="4">
        <f>SUM(Q23:Q28)</f>
        <v/>
      </c>
      <c r="R33" s="4">
        <f>SUM(R23:R28)</f>
        <v/>
      </c>
      <c r="S33" s="4">
        <f>SUM(S23:S28)</f>
        <v/>
      </c>
      <c r="T33" s="4">
        <f>SUM(T23:T28)</f>
        <v/>
      </c>
      <c r="U33" s="4">
        <f>SUM(U23:U28)</f>
        <v/>
      </c>
      <c r="V33" s="4">
        <f>SUM(V23:V28)</f>
        <v/>
      </c>
      <c r="W33" s="4">
        <f>SUM(W23:W28)</f>
        <v/>
      </c>
      <c r="X33" s="4">
        <f>SUM(X23:X28)</f>
        <v/>
      </c>
      <c r="Y33" s="4">
        <f>SUM(Y23:Y28)</f>
        <v/>
      </c>
      <c r="Z33" s="4">
        <f>SUM(Z23:Z28)</f>
        <v/>
      </c>
      <c r="AA33" s="4">
        <f>SUM(AA23:AA28)</f>
        <v/>
      </c>
      <c r="AB33" s="4">
        <f>SUM(AB23:AB28)</f>
        <v/>
      </c>
      <c r="AC33" s="4">
        <f>SUM(AC23:AC28)</f>
        <v/>
      </c>
      <c r="AD33" s="4">
        <f>SUM(AD23:AD28)</f>
        <v/>
      </c>
      <c r="AE33" s="4">
        <f>SUM(AE23:AE28)</f>
        <v/>
      </c>
      <c r="AF33" s="4">
        <f>SUM(AF23:AF28)</f>
        <v/>
      </c>
      <c r="AG33" s="4">
        <f>SUM(AG23:AG28)</f>
        <v/>
      </c>
      <c r="AH33" s="4">
        <f>SUM(AH23:AH28)</f>
        <v/>
      </c>
      <c r="AI33" s="4">
        <f>SUM(AI23:AI28)</f>
        <v/>
      </c>
      <c r="AJ33" s="4">
        <f>SUM(AJ23:AJ28)</f>
        <v/>
      </c>
      <c r="AK33" s="4">
        <f>SUM(AK23:AK28)</f>
        <v/>
      </c>
    </row>
    <row r="34">
      <c r="A34" s="3" t="inlineStr">
        <is>
          <t>Marge brute (Valeur)</t>
        </is>
      </c>
      <c r="B34" s="4">
        <f>B32-B33</f>
        <v/>
      </c>
      <c r="C34" s="4">
        <f>C32-C33</f>
        <v/>
      </c>
      <c r="D34" s="4">
        <f>D32-D33</f>
        <v/>
      </c>
      <c r="E34" s="4">
        <f>E32-E33</f>
        <v/>
      </c>
      <c r="F34" s="4">
        <f>F32-F33</f>
        <v/>
      </c>
      <c r="G34" s="4">
        <f>G32-G33</f>
        <v/>
      </c>
      <c r="H34" s="4">
        <f>H32-H33</f>
        <v/>
      </c>
      <c r="I34" s="4">
        <f>I32-I33</f>
        <v/>
      </c>
      <c r="J34" s="4">
        <f>J32-J33</f>
        <v/>
      </c>
      <c r="K34" s="4">
        <f>K32-K33</f>
        <v/>
      </c>
      <c r="L34" s="4">
        <f>L32-L33</f>
        <v/>
      </c>
      <c r="M34" s="4">
        <f>M32-M33</f>
        <v/>
      </c>
      <c r="N34" s="4">
        <f>N32-N33</f>
        <v/>
      </c>
      <c r="O34" s="4">
        <f>O32-O33</f>
        <v/>
      </c>
      <c r="P34" s="4">
        <f>P32-P33</f>
        <v/>
      </c>
      <c r="Q34" s="4">
        <f>Q32-Q33</f>
        <v/>
      </c>
      <c r="R34" s="4">
        <f>R32-R33</f>
        <v/>
      </c>
      <c r="S34" s="4">
        <f>S32-S33</f>
        <v/>
      </c>
      <c r="T34" s="4">
        <f>T32-T33</f>
        <v/>
      </c>
      <c r="U34" s="4">
        <f>U32-U33</f>
        <v/>
      </c>
      <c r="V34" s="4">
        <f>V32-V33</f>
        <v/>
      </c>
      <c r="W34" s="4">
        <f>W32-W33</f>
        <v/>
      </c>
      <c r="X34" s="4">
        <f>X32-X33</f>
        <v/>
      </c>
      <c r="Y34" s="4">
        <f>Y32-Y33</f>
        <v/>
      </c>
      <c r="Z34" s="4">
        <f>Z32-Z33</f>
        <v/>
      </c>
      <c r="AA34" s="4">
        <f>AA32-AA33</f>
        <v/>
      </c>
      <c r="AB34" s="4">
        <f>AB32-AB33</f>
        <v/>
      </c>
      <c r="AC34" s="4">
        <f>AC32-AC33</f>
        <v/>
      </c>
      <c r="AD34" s="4">
        <f>AD32-AD33</f>
        <v/>
      </c>
      <c r="AE34" s="4">
        <f>AE32-AE33</f>
        <v/>
      </c>
      <c r="AF34" s="4">
        <f>AF32-AF33</f>
        <v/>
      </c>
      <c r="AG34" s="4">
        <f>AG32-AG33</f>
        <v/>
      </c>
      <c r="AH34" s="4">
        <f>AH32-AH33</f>
        <v/>
      </c>
      <c r="AI34" s="4">
        <f>AI32-AI33</f>
        <v/>
      </c>
      <c r="AJ34" s="4">
        <f>AJ32-AJ33</f>
        <v/>
      </c>
      <c r="AK34" s="4">
        <f>AK32-AK33</f>
        <v/>
      </c>
    </row>
    <row r="35">
      <c r="A35" s="3" t="inlineStr">
        <is>
          <t>Marge brute (%)</t>
        </is>
      </c>
      <c r="B35" s="6">
        <f>IFERROR(B34/B32,0)</f>
        <v/>
      </c>
      <c r="C35" s="6">
        <f>IFERROR(C34/C32,0)</f>
        <v/>
      </c>
      <c r="D35" s="6">
        <f>IFERROR(D34/D32,0)</f>
        <v/>
      </c>
      <c r="E35" s="6">
        <f>IFERROR(E34/E32,0)</f>
        <v/>
      </c>
      <c r="F35" s="6">
        <f>IFERROR(F34/F32,0)</f>
        <v/>
      </c>
      <c r="G35" s="6">
        <f>IFERROR(G34/G32,0)</f>
        <v/>
      </c>
      <c r="H35" s="6">
        <f>IFERROR(H34/H32,0)</f>
        <v/>
      </c>
      <c r="I35" s="6">
        <f>IFERROR(I34/I32,0)</f>
        <v/>
      </c>
      <c r="J35" s="6">
        <f>IFERROR(J34/J32,0)</f>
        <v/>
      </c>
      <c r="K35" s="6">
        <f>IFERROR(K34/K32,0)</f>
        <v/>
      </c>
      <c r="L35" s="6">
        <f>IFERROR(L34/L32,0)</f>
        <v/>
      </c>
      <c r="M35" s="6">
        <f>IFERROR(M34/M32,0)</f>
        <v/>
      </c>
      <c r="N35" s="6">
        <f>IFERROR(N34/N32,0)</f>
        <v/>
      </c>
      <c r="O35" s="6">
        <f>IFERROR(O34/O32,0)</f>
        <v/>
      </c>
      <c r="P35" s="6">
        <f>IFERROR(P34/P32,0)</f>
        <v/>
      </c>
      <c r="Q35" s="6">
        <f>IFERROR(Q34/Q32,0)</f>
        <v/>
      </c>
      <c r="R35" s="6">
        <f>IFERROR(R34/R32,0)</f>
        <v/>
      </c>
      <c r="S35" s="6">
        <f>IFERROR(S34/S32,0)</f>
        <v/>
      </c>
      <c r="T35" s="6">
        <f>IFERROR(T34/T32,0)</f>
        <v/>
      </c>
      <c r="U35" s="6">
        <f>IFERROR(U34/U32,0)</f>
        <v/>
      </c>
      <c r="V35" s="6">
        <f>IFERROR(V34/V32,0)</f>
        <v/>
      </c>
      <c r="W35" s="6">
        <f>IFERROR(W34/W32,0)</f>
        <v/>
      </c>
      <c r="X35" s="6">
        <f>IFERROR(X34/X32,0)</f>
        <v/>
      </c>
      <c r="Y35" s="6">
        <f>IFERROR(Y34/Y32,0)</f>
        <v/>
      </c>
      <c r="Z35" s="6">
        <f>IFERROR(Z34/Z32,0)</f>
        <v/>
      </c>
      <c r="AA35" s="6">
        <f>IFERROR(AA34/AA32,0)</f>
        <v/>
      </c>
      <c r="AB35" s="6">
        <f>IFERROR(AB34/AB32,0)</f>
        <v/>
      </c>
      <c r="AC35" s="6">
        <f>IFERROR(AC34/AC32,0)</f>
        <v/>
      </c>
      <c r="AD35" s="6">
        <f>IFERROR(AD34/AD32,0)</f>
        <v/>
      </c>
      <c r="AE35" s="6">
        <f>IFERROR(AE34/AE32,0)</f>
        <v/>
      </c>
      <c r="AF35" s="6">
        <f>IFERROR(AF34/AF32,0)</f>
        <v/>
      </c>
      <c r="AG35" s="6">
        <f>IFERROR(AG34/AG32,0)</f>
        <v/>
      </c>
      <c r="AH35" s="6">
        <f>IFERROR(AH34/AH32,0)</f>
        <v/>
      </c>
      <c r="AI35" s="6">
        <f>IFERROR(AI34/AI32,0)</f>
        <v/>
      </c>
      <c r="AJ35" s="6">
        <f>IFERROR(AJ34/AJ32,0)</f>
        <v/>
      </c>
      <c r="AK35" s="6">
        <f>IFERROR(AK34/AK32,0)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15"/>
  <sheetViews>
    <sheetView showGridLines="0"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42" customWidth="1" min="1" max="1"/>
  </cols>
  <sheetData>
    <row r="1">
      <c r="A1" s="1" t="inlineStr">
        <is>
          <t>Charges de fonctionnement</t>
        </is>
      </c>
    </row>
    <row r="2">
      <c r="A2" s="2" t="inlineStr">
        <is>
          <t>Details de l'Opex fixe par phase temporelle pour maintenir la discipline financiere.</t>
        </is>
      </c>
    </row>
    <row r="3"/>
    <row r="4">
      <c r="A4" s="15" t="inlineStr">
        <is>
          <t>Categorie d'Opex</t>
        </is>
      </c>
      <c r="B4" s="15" t="inlineStr">
        <is>
          <t>Mois 1-12</t>
        </is>
      </c>
      <c r="C4" s="15" t="inlineStr">
        <is>
          <t>Mois 13-24</t>
        </is>
      </c>
      <c r="D4" s="15" t="inlineStr">
        <is>
          <t>Mois 25-36</t>
        </is>
      </c>
    </row>
    <row r="5">
      <c r="A5" t="inlineStr">
        <is>
          <t>Remuneration Fondateur / CEO</t>
        </is>
      </c>
      <c r="B5" s="4" t="n">
        <v>30000</v>
      </c>
      <c r="C5" s="4" t="n">
        <v>33000</v>
      </c>
      <c r="D5" s="4" t="n">
        <v>36000</v>
      </c>
    </row>
    <row r="6">
      <c r="A6" t="inlineStr">
        <is>
          <t>Support Operations &amp; Gestion</t>
        </is>
      </c>
      <c r="B6" s="4" t="n">
        <v>10000</v>
      </c>
      <c r="C6" s="4" t="n">
        <v>12000</v>
      </c>
      <c r="D6" s="4" t="n">
        <v>14000</v>
      </c>
    </row>
    <row r="7">
      <c r="A7" t="inlineStr">
        <is>
          <t>Marketing &amp; Contenu</t>
        </is>
      </c>
      <c r="B7" s="4" t="n">
        <v>10000</v>
      </c>
      <c r="C7" s="4" t="n">
        <v>12000</v>
      </c>
      <c r="D7" s="4" t="n">
        <v>16000</v>
      </c>
    </row>
    <row r="8">
      <c r="A8" t="inlineStr">
        <is>
          <t>Outils SaaS &amp; Logiciels</t>
        </is>
      </c>
      <c r="B8" s="4" t="n">
        <v>5000</v>
      </c>
      <c r="C8" s="4" t="n">
        <v>6000</v>
      </c>
      <c r="D8" s="4" t="n">
        <v>7000</v>
      </c>
    </row>
    <row r="9">
      <c r="A9" t="inlineStr">
        <is>
          <t>Deplacements &amp; Livraison client</t>
        </is>
      </c>
      <c r="B9" s="4" t="n">
        <v>6000</v>
      </c>
      <c r="C9" s="4" t="n">
        <v>7000</v>
      </c>
      <c r="D9" s="4" t="n">
        <v>8000</v>
      </c>
    </row>
    <row r="10">
      <c r="A10" t="inlineStr">
        <is>
          <t>Frais Juridiques, Comptables &amp; Conformite</t>
        </is>
      </c>
      <c r="B10" s="4" t="n">
        <v>4500</v>
      </c>
      <c r="C10" s="4" t="n">
        <v>5000</v>
      </c>
      <c r="D10" s="4" t="n">
        <v>6000</v>
      </c>
    </row>
    <row r="11">
      <c r="A11" t="inlineStr">
        <is>
          <t>Admin, Internet &amp; Telecoms</t>
        </is>
      </c>
      <c r="B11" s="4" t="n">
        <v>3500</v>
      </c>
      <c r="C11" s="4" t="n">
        <v>4000</v>
      </c>
      <c r="D11" s="4" t="n">
        <v>4500</v>
      </c>
    </row>
    <row r="12">
      <c r="A12" t="inlineStr">
        <is>
          <t>Reserve Imprevus / Contingence</t>
        </is>
      </c>
      <c r="B12" s="4" t="n">
        <v>4000</v>
      </c>
      <c r="C12" s="4" t="n">
        <v>4000</v>
      </c>
      <c r="D12" s="4" t="n">
        <v>5000</v>
      </c>
    </row>
    <row r="13">
      <c r="A13" t="inlineStr">
        <is>
          <t>Reserve Recrutement / Croissance</t>
        </is>
      </c>
      <c r="B13" s="4" t="n">
        <v>5000</v>
      </c>
      <c r="C13" s="4" t="n">
        <v>15000</v>
      </c>
      <c r="D13" s="4" t="n">
        <v>22000</v>
      </c>
    </row>
    <row r="14"/>
    <row r="15">
      <c r="A15" t="inlineStr">
        <is>
          <t>Total charges fixes (Opex)</t>
        </is>
      </c>
      <c r="B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C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D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E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F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G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H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I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J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K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L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M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N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O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P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Q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R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S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T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U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V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W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X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Y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Z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AA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AB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AC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AD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AE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AF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AG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AH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AI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AJ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c r="AK15" s="21">
        <f>IF(COLUMN()-1&lt;=12,Assumptions!$B$35,IF(COLUMN()-1&lt;=24,Assumptions!$C$35,Assumptions!$D$35))+IF(COLUMN()-1&lt;=12,Assumptions!$B$36,IF(COLUMN()-1&lt;=24,Assumptions!$C$36,Assumptions!$D$36))+IF(COLUMN()-1&lt;=12,Assumptions!$B$37,IF(COLUMN()-1&lt;=24,Assumptions!$C$37,Assumptions!$D$37))+IF(COLUMN()-1&lt;=12,Assumptions!$B$38,IF(COLUMN()-1&lt;=24,Assumptions!$C$38,Assumptions!$D$38))+IF(COLUMN()-1&lt;=12,Assumptions!$B$39,IF(COLUMN()-1&lt;=24,Assumptions!$C$39,Assumptions!$D$39))+IF(COLUMN()-1&lt;=12,Assumptions!$B$40,IF(COLUMN()-1&lt;=24,Assumptions!$C$40,Assumptions!$D$40))+IF(COLUMN()-1&lt;=12,Assumptions!$B$41,IF(COLUMN()-1&lt;=24,Assumptions!$C$41,Assumptions!$D$41))+IF(COLUMN()-1&lt;=12,Assumptions!$B$42,IF(COLUMN()-1&lt;=24,Assumptions!$C$42,Assumptions!$D$42))+IF(COLUMN()-1&lt;=12,Assumptions!$B$43,IF(COLUMN()-1&lt;=24,Assumptions!$C$43,Assumptions!$D$43))</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22"/>
  <sheetViews>
    <sheetView showGridLines="0"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28" customWidth="1" min="1" max="1"/>
  </cols>
  <sheetData>
    <row r="1">
      <c r="A1" s="1" t="inlineStr">
        <is>
          <t>Compte de Resultat</t>
        </is>
      </c>
    </row>
    <row r="2">
      <c r="A2" s="2" t="inlineStr">
        <is>
          <t>Vue previsionnelle mensuelle et synthese annuelle. Indispensable pour la credibilite du dossier.</t>
        </is>
      </c>
    </row>
    <row r="3"/>
    <row r="4">
      <c r="B4" s="15" t="inlineStr">
        <is>
          <t>2026-06</t>
        </is>
      </c>
      <c r="C4" s="15" t="inlineStr">
        <is>
          <t>2026-07</t>
        </is>
      </c>
      <c r="D4" s="15" t="inlineStr">
        <is>
          <t>2026-08</t>
        </is>
      </c>
      <c r="E4" s="15" t="inlineStr">
        <is>
          <t>2026-09</t>
        </is>
      </c>
      <c r="F4" s="15" t="inlineStr">
        <is>
          <t>2026-10</t>
        </is>
      </c>
      <c r="G4" s="15" t="inlineStr">
        <is>
          <t>2026-11</t>
        </is>
      </c>
      <c r="H4" s="15" t="inlineStr">
        <is>
          <t>2026-12</t>
        </is>
      </c>
      <c r="I4" s="15" t="inlineStr">
        <is>
          <t>2027-01</t>
        </is>
      </c>
      <c r="J4" s="15" t="inlineStr">
        <is>
          <t>2027-02</t>
        </is>
      </c>
      <c r="K4" s="15" t="inlineStr">
        <is>
          <t>2027-03</t>
        </is>
      </c>
      <c r="L4" s="15" t="inlineStr">
        <is>
          <t>2027-04</t>
        </is>
      </c>
      <c r="M4" s="15" t="inlineStr">
        <is>
          <t>2027-05</t>
        </is>
      </c>
      <c r="N4" s="15" t="inlineStr">
        <is>
          <t>2027-06</t>
        </is>
      </c>
      <c r="O4" s="15" t="inlineStr">
        <is>
          <t>2027-07</t>
        </is>
      </c>
      <c r="P4" s="15" t="inlineStr">
        <is>
          <t>2027-08</t>
        </is>
      </c>
      <c r="Q4" s="15" t="inlineStr">
        <is>
          <t>2027-09</t>
        </is>
      </c>
      <c r="R4" s="15" t="inlineStr">
        <is>
          <t>2027-10</t>
        </is>
      </c>
      <c r="S4" s="15" t="inlineStr">
        <is>
          <t>2027-11</t>
        </is>
      </c>
      <c r="T4" s="15" t="inlineStr">
        <is>
          <t>2027-12</t>
        </is>
      </c>
      <c r="U4" s="15" t="inlineStr">
        <is>
          <t>2028-01</t>
        </is>
      </c>
      <c r="V4" s="15" t="inlineStr">
        <is>
          <t>2028-02</t>
        </is>
      </c>
      <c r="W4" s="15" t="inlineStr">
        <is>
          <t>2028-03</t>
        </is>
      </c>
      <c r="X4" s="15" t="inlineStr">
        <is>
          <t>2028-04</t>
        </is>
      </c>
      <c r="Y4" s="15" t="inlineStr">
        <is>
          <t>2028-05</t>
        </is>
      </c>
      <c r="Z4" s="15" t="inlineStr">
        <is>
          <t>2028-06</t>
        </is>
      </c>
      <c r="AA4" s="15" t="inlineStr">
        <is>
          <t>2028-07</t>
        </is>
      </c>
      <c r="AB4" s="15" t="inlineStr">
        <is>
          <t>2028-08</t>
        </is>
      </c>
      <c r="AC4" s="15" t="inlineStr">
        <is>
          <t>2028-09</t>
        </is>
      </c>
      <c r="AD4" s="15" t="inlineStr">
        <is>
          <t>2028-10</t>
        </is>
      </c>
      <c r="AE4" s="15" t="inlineStr">
        <is>
          <t>2028-11</t>
        </is>
      </c>
      <c r="AF4" s="15" t="inlineStr">
        <is>
          <t>2028-12</t>
        </is>
      </c>
      <c r="AG4" s="15" t="inlineStr">
        <is>
          <t>2029-01</t>
        </is>
      </c>
      <c r="AH4" s="15" t="inlineStr">
        <is>
          <t>2029-02</t>
        </is>
      </c>
      <c r="AI4" s="15" t="inlineStr">
        <is>
          <t>2029-03</t>
        </is>
      </c>
      <c r="AJ4" s="15" t="inlineStr">
        <is>
          <t>2029-04</t>
        </is>
      </c>
      <c r="AK4" s="15" t="inlineStr">
        <is>
          <t>2029-05</t>
        </is>
      </c>
    </row>
    <row r="5"/>
    <row r="6">
      <c r="A6" s="3" t="inlineStr">
        <is>
          <t>Chiffre d'Affaires</t>
        </is>
      </c>
      <c r="B6" s="4">
        <f>'Revenue_Model'!B32</f>
        <v/>
      </c>
      <c r="C6" s="4">
        <f>'Revenue_Model'!C32</f>
        <v/>
      </c>
      <c r="D6" s="4">
        <f>'Revenue_Model'!D32</f>
        <v/>
      </c>
      <c r="E6" s="4">
        <f>'Revenue_Model'!E32</f>
        <v/>
      </c>
      <c r="F6" s="4">
        <f>'Revenue_Model'!F32</f>
        <v/>
      </c>
      <c r="G6" s="4">
        <f>'Revenue_Model'!G32</f>
        <v/>
      </c>
      <c r="H6" s="4">
        <f>'Revenue_Model'!H32</f>
        <v/>
      </c>
      <c r="I6" s="4">
        <f>'Revenue_Model'!I32</f>
        <v/>
      </c>
      <c r="J6" s="4">
        <f>'Revenue_Model'!J32</f>
        <v/>
      </c>
      <c r="K6" s="4">
        <f>'Revenue_Model'!K32</f>
        <v/>
      </c>
      <c r="L6" s="4">
        <f>'Revenue_Model'!L32</f>
        <v/>
      </c>
      <c r="M6" s="4">
        <f>'Revenue_Model'!M32</f>
        <v/>
      </c>
      <c r="N6" s="4">
        <f>'Revenue_Model'!N32</f>
        <v/>
      </c>
      <c r="O6" s="4">
        <f>'Revenue_Model'!O32</f>
        <v/>
      </c>
      <c r="P6" s="4">
        <f>'Revenue_Model'!P32</f>
        <v/>
      </c>
      <c r="Q6" s="4">
        <f>'Revenue_Model'!Q32</f>
        <v/>
      </c>
      <c r="R6" s="4">
        <f>'Revenue_Model'!R32</f>
        <v/>
      </c>
      <c r="S6" s="4">
        <f>'Revenue_Model'!S32</f>
        <v/>
      </c>
      <c r="T6" s="4">
        <f>'Revenue_Model'!T32</f>
        <v/>
      </c>
      <c r="U6" s="4">
        <f>'Revenue_Model'!U32</f>
        <v/>
      </c>
      <c r="V6" s="4">
        <f>'Revenue_Model'!V32</f>
        <v/>
      </c>
      <c r="W6" s="4">
        <f>'Revenue_Model'!W32</f>
        <v/>
      </c>
      <c r="X6" s="4">
        <f>'Revenue_Model'!X32</f>
        <v/>
      </c>
      <c r="Y6" s="4">
        <f>'Revenue_Model'!Y32</f>
        <v/>
      </c>
      <c r="Z6" s="4">
        <f>'Revenue_Model'!Z32</f>
        <v/>
      </c>
      <c r="AA6" s="4">
        <f>'Revenue_Model'!AA32</f>
        <v/>
      </c>
      <c r="AB6" s="4">
        <f>'Revenue_Model'!AB32</f>
        <v/>
      </c>
      <c r="AC6" s="4">
        <f>'Revenue_Model'!AC32</f>
        <v/>
      </c>
      <c r="AD6" s="4">
        <f>'Revenue_Model'!AD32</f>
        <v/>
      </c>
      <c r="AE6" s="4">
        <f>'Revenue_Model'!AE32</f>
        <v/>
      </c>
      <c r="AF6" s="4">
        <f>'Revenue_Model'!AF32</f>
        <v/>
      </c>
      <c r="AG6" s="4">
        <f>'Revenue_Model'!AG32</f>
        <v/>
      </c>
      <c r="AH6" s="4">
        <f>'Revenue_Model'!AH32</f>
        <v/>
      </c>
      <c r="AI6" s="4">
        <f>'Revenue_Model'!AI32</f>
        <v/>
      </c>
      <c r="AJ6" s="4">
        <f>'Revenue_Model'!AJ32</f>
        <v/>
      </c>
      <c r="AK6" s="4">
        <f>'Revenue_Model'!AK32</f>
        <v/>
      </c>
    </row>
    <row r="7">
      <c r="A7" s="3" t="inlineStr">
        <is>
          <t>Cout direct</t>
        </is>
      </c>
      <c r="B7" s="4">
        <f>'Revenue_Model'!B33</f>
        <v/>
      </c>
      <c r="C7" s="4">
        <f>'Revenue_Model'!C33</f>
        <v/>
      </c>
      <c r="D7" s="4">
        <f>'Revenue_Model'!D33</f>
        <v/>
      </c>
      <c r="E7" s="4">
        <f>'Revenue_Model'!E33</f>
        <v/>
      </c>
      <c r="F7" s="4">
        <f>'Revenue_Model'!F33</f>
        <v/>
      </c>
      <c r="G7" s="4">
        <f>'Revenue_Model'!G33</f>
        <v/>
      </c>
      <c r="H7" s="4">
        <f>'Revenue_Model'!H33</f>
        <v/>
      </c>
      <c r="I7" s="4">
        <f>'Revenue_Model'!I33</f>
        <v/>
      </c>
      <c r="J7" s="4">
        <f>'Revenue_Model'!J33</f>
        <v/>
      </c>
      <c r="K7" s="4">
        <f>'Revenue_Model'!K33</f>
        <v/>
      </c>
      <c r="L7" s="4">
        <f>'Revenue_Model'!L33</f>
        <v/>
      </c>
      <c r="M7" s="4">
        <f>'Revenue_Model'!M33</f>
        <v/>
      </c>
      <c r="N7" s="4">
        <f>'Revenue_Model'!N33</f>
        <v/>
      </c>
      <c r="O7" s="4">
        <f>'Revenue_Model'!O33</f>
        <v/>
      </c>
      <c r="P7" s="4">
        <f>'Revenue_Model'!P33</f>
        <v/>
      </c>
      <c r="Q7" s="4">
        <f>'Revenue_Model'!Q33</f>
        <v/>
      </c>
      <c r="R7" s="4">
        <f>'Revenue_Model'!R33</f>
        <v/>
      </c>
      <c r="S7" s="4">
        <f>'Revenue_Model'!S33</f>
        <v/>
      </c>
      <c r="T7" s="4">
        <f>'Revenue_Model'!T33</f>
        <v/>
      </c>
      <c r="U7" s="4">
        <f>'Revenue_Model'!U33</f>
        <v/>
      </c>
      <c r="V7" s="4">
        <f>'Revenue_Model'!V33</f>
        <v/>
      </c>
      <c r="W7" s="4">
        <f>'Revenue_Model'!W33</f>
        <v/>
      </c>
      <c r="X7" s="4">
        <f>'Revenue_Model'!X33</f>
        <v/>
      </c>
      <c r="Y7" s="4">
        <f>'Revenue_Model'!Y33</f>
        <v/>
      </c>
      <c r="Z7" s="4">
        <f>'Revenue_Model'!Z33</f>
        <v/>
      </c>
      <c r="AA7" s="4">
        <f>'Revenue_Model'!AA33</f>
        <v/>
      </c>
      <c r="AB7" s="4">
        <f>'Revenue_Model'!AB33</f>
        <v/>
      </c>
      <c r="AC7" s="4">
        <f>'Revenue_Model'!AC33</f>
        <v/>
      </c>
      <c r="AD7" s="4">
        <f>'Revenue_Model'!AD33</f>
        <v/>
      </c>
      <c r="AE7" s="4">
        <f>'Revenue_Model'!AE33</f>
        <v/>
      </c>
      <c r="AF7" s="4">
        <f>'Revenue_Model'!AF33</f>
        <v/>
      </c>
      <c r="AG7" s="4">
        <f>'Revenue_Model'!AG33</f>
        <v/>
      </c>
      <c r="AH7" s="4">
        <f>'Revenue_Model'!AH33</f>
        <v/>
      </c>
      <c r="AI7" s="4">
        <f>'Revenue_Model'!AI33</f>
        <v/>
      </c>
      <c r="AJ7" s="4">
        <f>'Revenue_Model'!AJ33</f>
        <v/>
      </c>
      <c r="AK7" s="4">
        <f>'Revenue_Model'!AK33</f>
        <v/>
      </c>
    </row>
    <row r="8">
      <c r="A8" s="3" t="inlineStr">
        <is>
          <t>Marge brute</t>
        </is>
      </c>
      <c r="B8" s="4">
        <f>'Revenue_Model'!B34</f>
        <v/>
      </c>
      <c r="C8" s="4">
        <f>'Revenue_Model'!C34</f>
        <v/>
      </c>
      <c r="D8" s="4">
        <f>'Revenue_Model'!D34</f>
        <v/>
      </c>
      <c r="E8" s="4">
        <f>'Revenue_Model'!E34</f>
        <v/>
      </c>
      <c r="F8" s="4">
        <f>'Revenue_Model'!F34</f>
        <v/>
      </c>
      <c r="G8" s="4">
        <f>'Revenue_Model'!G34</f>
        <v/>
      </c>
      <c r="H8" s="4">
        <f>'Revenue_Model'!H34</f>
        <v/>
      </c>
      <c r="I8" s="4">
        <f>'Revenue_Model'!I34</f>
        <v/>
      </c>
      <c r="J8" s="4">
        <f>'Revenue_Model'!J34</f>
        <v/>
      </c>
      <c r="K8" s="4">
        <f>'Revenue_Model'!K34</f>
        <v/>
      </c>
      <c r="L8" s="4">
        <f>'Revenue_Model'!L34</f>
        <v/>
      </c>
      <c r="M8" s="4">
        <f>'Revenue_Model'!M34</f>
        <v/>
      </c>
      <c r="N8" s="4">
        <f>'Revenue_Model'!N34</f>
        <v/>
      </c>
      <c r="O8" s="4">
        <f>'Revenue_Model'!O34</f>
        <v/>
      </c>
      <c r="P8" s="4">
        <f>'Revenue_Model'!P34</f>
        <v/>
      </c>
      <c r="Q8" s="4">
        <f>'Revenue_Model'!Q34</f>
        <v/>
      </c>
      <c r="R8" s="4">
        <f>'Revenue_Model'!R34</f>
        <v/>
      </c>
      <c r="S8" s="4">
        <f>'Revenue_Model'!S34</f>
        <v/>
      </c>
      <c r="T8" s="4">
        <f>'Revenue_Model'!T34</f>
        <v/>
      </c>
      <c r="U8" s="4">
        <f>'Revenue_Model'!U34</f>
        <v/>
      </c>
      <c r="V8" s="4">
        <f>'Revenue_Model'!V34</f>
        <v/>
      </c>
      <c r="W8" s="4">
        <f>'Revenue_Model'!W34</f>
        <v/>
      </c>
      <c r="X8" s="4">
        <f>'Revenue_Model'!X34</f>
        <v/>
      </c>
      <c r="Y8" s="4">
        <f>'Revenue_Model'!Y34</f>
        <v/>
      </c>
      <c r="Z8" s="4">
        <f>'Revenue_Model'!Z34</f>
        <v/>
      </c>
      <c r="AA8" s="4">
        <f>'Revenue_Model'!AA34</f>
        <v/>
      </c>
      <c r="AB8" s="4">
        <f>'Revenue_Model'!AB34</f>
        <v/>
      </c>
      <c r="AC8" s="4">
        <f>'Revenue_Model'!AC34</f>
        <v/>
      </c>
      <c r="AD8" s="4">
        <f>'Revenue_Model'!AD34</f>
        <v/>
      </c>
      <c r="AE8" s="4">
        <f>'Revenue_Model'!AE34</f>
        <v/>
      </c>
      <c r="AF8" s="4">
        <f>'Revenue_Model'!AF34</f>
        <v/>
      </c>
      <c r="AG8" s="4">
        <f>'Revenue_Model'!AG34</f>
        <v/>
      </c>
      <c r="AH8" s="4">
        <f>'Revenue_Model'!AH34</f>
        <v/>
      </c>
      <c r="AI8" s="4">
        <f>'Revenue_Model'!AI34</f>
        <v/>
      </c>
      <c r="AJ8" s="4">
        <f>'Revenue_Model'!AJ34</f>
        <v/>
      </c>
      <c r="AK8" s="4">
        <f>'Revenue_Model'!AK34</f>
        <v/>
      </c>
    </row>
    <row r="9">
      <c r="A9" s="3" t="inlineStr">
        <is>
          <t>Marge brute %</t>
        </is>
      </c>
      <c r="B9" s="6">
        <f>IFERROR(B8/B6,0)</f>
        <v/>
      </c>
      <c r="C9" s="6">
        <f>IFERROR(C8/C6,0)</f>
        <v/>
      </c>
      <c r="D9" s="6">
        <f>IFERROR(D8/D6,0)</f>
        <v/>
      </c>
      <c r="E9" s="6">
        <f>IFERROR(E8/E6,0)</f>
        <v/>
      </c>
      <c r="F9" s="6">
        <f>IFERROR(F8/F6,0)</f>
        <v/>
      </c>
      <c r="G9" s="6">
        <f>IFERROR(G8/G6,0)</f>
        <v/>
      </c>
      <c r="H9" s="6">
        <f>IFERROR(H8/H6,0)</f>
        <v/>
      </c>
      <c r="I9" s="6">
        <f>IFERROR(I8/I6,0)</f>
        <v/>
      </c>
      <c r="J9" s="6">
        <f>IFERROR(J8/J6,0)</f>
        <v/>
      </c>
      <c r="K9" s="6">
        <f>IFERROR(K8/K6,0)</f>
        <v/>
      </c>
      <c r="L9" s="6">
        <f>IFERROR(L8/L6,0)</f>
        <v/>
      </c>
      <c r="M9" s="6">
        <f>IFERROR(M8/M6,0)</f>
        <v/>
      </c>
      <c r="N9" s="6">
        <f>IFERROR(N8/N6,0)</f>
        <v/>
      </c>
      <c r="O9" s="6">
        <f>IFERROR(O8/O6,0)</f>
        <v/>
      </c>
      <c r="P9" s="6">
        <f>IFERROR(P8/P6,0)</f>
        <v/>
      </c>
      <c r="Q9" s="6">
        <f>IFERROR(Q8/Q6,0)</f>
        <v/>
      </c>
      <c r="R9" s="6">
        <f>IFERROR(R8/R6,0)</f>
        <v/>
      </c>
      <c r="S9" s="6">
        <f>IFERROR(S8/S6,0)</f>
        <v/>
      </c>
      <c r="T9" s="6">
        <f>IFERROR(T8/T6,0)</f>
        <v/>
      </c>
      <c r="U9" s="6">
        <f>IFERROR(U8/U6,0)</f>
        <v/>
      </c>
      <c r="V9" s="6">
        <f>IFERROR(V8/V6,0)</f>
        <v/>
      </c>
      <c r="W9" s="6">
        <f>IFERROR(W8/W6,0)</f>
        <v/>
      </c>
      <c r="X9" s="6">
        <f>IFERROR(X8/X6,0)</f>
        <v/>
      </c>
      <c r="Y9" s="6">
        <f>IFERROR(Y8/Y6,0)</f>
        <v/>
      </c>
      <c r="Z9" s="6">
        <f>IFERROR(Z8/Z6,0)</f>
        <v/>
      </c>
      <c r="AA9" s="6">
        <f>IFERROR(AA8/AA6,0)</f>
        <v/>
      </c>
      <c r="AB9" s="6">
        <f>IFERROR(AB8/AB6,0)</f>
        <v/>
      </c>
      <c r="AC9" s="6">
        <f>IFERROR(AC8/AC6,0)</f>
        <v/>
      </c>
      <c r="AD9" s="6">
        <f>IFERROR(AD8/AD6,0)</f>
        <v/>
      </c>
      <c r="AE9" s="6">
        <f>IFERROR(AE8/AE6,0)</f>
        <v/>
      </c>
      <c r="AF9" s="6">
        <f>IFERROR(AF8/AF6,0)</f>
        <v/>
      </c>
      <c r="AG9" s="6">
        <f>IFERROR(AG8/AG6,0)</f>
        <v/>
      </c>
      <c r="AH9" s="6">
        <f>IFERROR(AH8/AH6,0)</f>
        <v/>
      </c>
      <c r="AI9" s="6">
        <f>IFERROR(AI8/AI6,0)</f>
        <v/>
      </c>
      <c r="AJ9" s="6">
        <f>IFERROR(AJ8/AJ6,0)</f>
        <v/>
      </c>
      <c r="AK9" s="6">
        <f>IFERROR(AK8/AK6,0)</f>
        <v/>
      </c>
    </row>
    <row r="10">
      <c r="A10" s="3" t="inlineStr">
        <is>
          <t>Frais de fonctionnement (Opex)</t>
        </is>
      </c>
      <c r="B10" s="4">
        <f>'Expenses'!B15</f>
        <v/>
      </c>
      <c r="C10" s="4">
        <f>'Expenses'!C15</f>
        <v/>
      </c>
      <c r="D10" s="4">
        <f>'Expenses'!D15</f>
        <v/>
      </c>
      <c r="E10" s="4">
        <f>'Expenses'!E15</f>
        <v/>
      </c>
      <c r="F10" s="4">
        <f>'Expenses'!F15</f>
        <v/>
      </c>
      <c r="G10" s="4">
        <f>'Expenses'!G15</f>
        <v/>
      </c>
      <c r="H10" s="4">
        <f>'Expenses'!H15</f>
        <v/>
      </c>
      <c r="I10" s="4">
        <f>'Expenses'!I15</f>
        <v/>
      </c>
      <c r="J10" s="4">
        <f>'Expenses'!J15</f>
        <v/>
      </c>
      <c r="K10" s="4">
        <f>'Expenses'!K15</f>
        <v/>
      </c>
      <c r="L10" s="4">
        <f>'Expenses'!L15</f>
        <v/>
      </c>
      <c r="M10" s="4">
        <f>'Expenses'!M15</f>
        <v/>
      </c>
      <c r="N10" s="4">
        <f>'Expenses'!N15</f>
        <v/>
      </c>
      <c r="O10" s="4">
        <f>'Expenses'!O15</f>
        <v/>
      </c>
      <c r="P10" s="4">
        <f>'Expenses'!P15</f>
        <v/>
      </c>
      <c r="Q10" s="4">
        <f>'Expenses'!Q15</f>
        <v/>
      </c>
      <c r="R10" s="4">
        <f>'Expenses'!R15</f>
        <v/>
      </c>
      <c r="S10" s="4">
        <f>'Expenses'!S15</f>
        <v/>
      </c>
      <c r="T10" s="4">
        <f>'Expenses'!T15</f>
        <v/>
      </c>
      <c r="U10" s="4">
        <f>'Expenses'!U15</f>
        <v/>
      </c>
      <c r="V10" s="4">
        <f>'Expenses'!V15</f>
        <v/>
      </c>
      <c r="W10" s="4">
        <f>'Expenses'!W15</f>
        <v/>
      </c>
      <c r="X10" s="4">
        <f>'Expenses'!X15</f>
        <v/>
      </c>
      <c r="Y10" s="4">
        <f>'Expenses'!Y15</f>
        <v/>
      </c>
      <c r="Z10" s="4">
        <f>'Expenses'!Z15</f>
        <v/>
      </c>
      <c r="AA10" s="4">
        <f>'Expenses'!AA15</f>
        <v/>
      </c>
      <c r="AB10" s="4">
        <f>'Expenses'!AB15</f>
        <v/>
      </c>
      <c r="AC10" s="4">
        <f>'Expenses'!AC15</f>
        <v/>
      </c>
      <c r="AD10" s="4">
        <f>'Expenses'!AD15</f>
        <v/>
      </c>
      <c r="AE10" s="4">
        <f>'Expenses'!AE15</f>
        <v/>
      </c>
      <c r="AF10" s="4">
        <f>'Expenses'!AF15</f>
        <v/>
      </c>
      <c r="AG10" s="4">
        <f>'Expenses'!AG15</f>
        <v/>
      </c>
      <c r="AH10" s="4">
        <f>'Expenses'!AH15</f>
        <v/>
      </c>
      <c r="AI10" s="4">
        <f>'Expenses'!AI15</f>
        <v/>
      </c>
      <c r="AJ10" s="4">
        <f>'Expenses'!AJ15</f>
        <v/>
      </c>
      <c r="AK10" s="4">
        <f>'Expenses'!AK15</f>
        <v/>
      </c>
    </row>
    <row r="11">
      <c r="A11" s="3" t="inlineStr">
        <is>
          <t>EBITDA</t>
        </is>
      </c>
      <c r="B11" s="4">
        <f>B8-B10</f>
        <v/>
      </c>
      <c r="C11" s="4">
        <f>C8-C10</f>
        <v/>
      </c>
      <c r="D11" s="4">
        <f>D8-D10</f>
        <v/>
      </c>
      <c r="E11" s="4">
        <f>E8-E10</f>
        <v/>
      </c>
      <c r="F11" s="4">
        <f>F8-F10</f>
        <v/>
      </c>
      <c r="G11" s="4">
        <f>G8-G10</f>
        <v/>
      </c>
      <c r="H11" s="4">
        <f>H8-H10</f>
        <v/>
      </c>
      <c r="I11" s="4">
        <f>I8-I10</f>
        <v/>
      </c>
      <c r="J11" s="4">
        <f>J8-J10</f>
        <v/>
      </c>
      <c r="K11" s="4">
        <f>K8-K10</f>
        <v/>
      </c>
      <c r="L11" s="4">
        <f>L8-L10</f>
        <v/>
      </c>
      <c r="M11" s="4">
        <f>M8-M10</f>
        <v/>
      </c>
      <c r="N11" s="4">
        <f>N8-N10</f>
        <v/>
      </c>
      <c r="O11" s="4">
        <f>O8-O10</f>
        <v/>
      </c>
      <c r="P11" s="4">
        <f>P8-P10</f>
        <v/>
      </c>
      <c r="Q11" s="4">
        <f>Q8-Q10</f>
        <v/>
      </c>
      <c r="R11" s="4">
        <f>R8-R10</f>
        <v/>
      </c>
      <c r="S11" s="4">
        <f>S8-S10</f>
        <v/>
      </c>
      <c r="T11" s="4">
        <f>T8-T10</f>
        <v/>
      </c>
      <c r="U11" s="4">
        <f>U8-U10</f>
        <v/>
      </c>
      <c r="V11" s="4">
        <f>V8-V10</f>
        <v/>
      </c>
      <c r="W11" s="4">
        <f>W8-W10</f>
        <v/>
      </c>
      <c r="X11" s="4">
        <f>X8-X10</f>
        <v/>
      </c>
      <c r="Y11" s="4">
        <f>Y8-Y10</f>
        <v/>
      </c>
      <c r="Z11" s="4">
        <f>Z8-Z10</f>
        <v/>
      </c>
      <c r="AA11" s="4">
        <f>AA8-AA10</f>
        <v/>
      </c>
      <c r="AB11" s="4">
        <f>AB8-AB10</f>
        <v/>
      </c>
      <c r="AC11" s="4">
        <f>AC8-AC10</f>
        <v/>
      </c>
      <c r="AD11" s="4">
        <f>AD8-AD10</f>
        <v/>
      </c>
      <c r="AE11" s="4">
        <f>AE8-AE10</f>
        <v/>
      </c>
      <c r="AF11" s="4">
        <f>AF8-AF10</f>
        <v/>
      </c>
      <c r="AG11" s="4">
        <f>AG8-AG10</f>
        <v/>
      </c>
      <c r="AH11" s="4">
        <f>AH8-AH10</f>
        <v/>
      </c>
      <c r="AI11" s="4">
        <f>AI8-AI10</f>
        <v/>
      </c>
      <c r="AJ11" s="4">
        <f>AJ8-AJ10</f>
        <v/>
      </c>
      <c r="AK11" s="4">
        <f>AK8-AK10</f>
        <v/>
      </c>
    </row>
    <row r="12">
      <c r="A12" s="3" t="inlineStr">
        <is>
          <t>Impots (IS)</t>
        </is>
      </c>
      <c r="B12" s="4">
        <f>MAX(B11,0)*Assumptions!$B$8</f>
        <v/>
      </c>
      <c r="C12" s="4">
        <f>MAX(C11,0)*Assumptions!$B$8</f>
        <v/>
      </c>
      <c r="D12" s="4">
        <f>MAX(D11,0)*Assumptions!$B$8</f>
        <v/>
      </c>
      <c r="E12" s="4">
        <f>MAX(E11,0)*Assumptions!$B$8</f>
        <v/>
      </c>
      <c r="F12" s="4">
        <f>MAX(F11,0)*Assumptions!$B$8</f>
        <v/>
      </c>
      <c r="G12" s="4">
        <f>MAX(G11,0)*Assumptions!$B$8</f>
        <v/>
      </c>
      <c r="H12" s="4">
        <f>MAX(H11,0)*Assumptions!$B$8</f>
        <v/>
      </c>
      <c r="I12" s="4">
        <f>MAX(I11,0)*Assumptions!$B$8</f>
        <v/>
      </c>
      <c r="J12" s="4">
        <f>MAX(J11,0)*Assumptions!$B$8</f>
        <v/>
      </c>
      <c r="K12" s="4">
        <f>MAX(K11,0)*Assumptions!$B$8</f>
        <v/>
      </c>
      <c r="L12" s="4">
        <f>MAX(L11,0)*Assumptions!$B$8</f>
        <v/>
      </c>
      <c r="M12" s="4">
        <f>MAX(M11,0)*Assumptions!$B$8</f>
        <v/>
      </c>
      <c r="N12" s="4">
        <f>MAX(N11,0)*Assumptions!$B$8</f>
        <v/>
      </c>
      <c r="O12" s="4">
        <f>MAX(O11,0)*Assumptions!$B$8</f>
        <v/>
      </c>
      <c r="P12" s="4">
        <f>MAX(P11,0)*Assumptions!$B$8</f>
        <v/>
      </c>
      <c r="Q12" s="4">
        <f>MAX(Q11,0)*Assumptions!$B$8</f>
        <v/>
      </c>
      <c r="R12" s="4">
        <f>MAX(R11,0)*Assumptions!$B$8</f>
        <v/>
      </c>
      <c r="S12" s="4">
        <f>MAX(S11,0)*Assumptions!$B$8</f>
        <v/>
      </c>
      <c r="T12" s="4">
        <f>MAX(T11,0)*Assumptions!$B$8</f>
        <v/>
      </c>
      <c r="U12" s="4">
        <f>MAX(U11,0)*Assumptions!$B$8</f>
        <v/>
      </c>
      <c r="V12" s="4">
        <f>MAX(V11,0)*Assumptions!$B$8</f>
        <v/>
      </c>
      <c r="W12" s="4">
        <f>MAX(W11,0)*Assumptions!$B$8</f>
        <v/>
      </c>
      <c r="X12" s="4">
        <f>MAX(X11,0)*Assumptions!$B$8</f>
        <v/>
      </c>
      <c r="Y12" s="4">
        <f>MAX(Y11,0)*Assumptions!$B$8</f>
        <v/>
      </c>
      <c r="Z12" s="4">
        <f>MAX(Z11,0)*Assumptions!$B$8</f>
        <v/>
      </c>
      <c r="AA12" s="4">
        <f>MAX(AA11,0)*Assumptions!$B$8</f>
        <v/>
      </c>
      <c r="AB12" s="4">
        <f>MAX(AB11,0)*Assumptions!$B$8</f>
        <v/>
      </c>
      <c r="AC12" s="4">
        <f>MAX(AC11,0)*Assumptions!$B$8</f>
        <v/>
      </c>
      <c r="AD12" s="4">
        <f>MAX(AD11,0)*Assumptions!$B$8</f>
        <v/>
      </c>
      <c r="AE12" s="4">
        <f>MAX(AE11,0)*Assumptions!$B$8</f>
        <v/>
      </c>
      <c r="AF12" s="4">
        <f>MAX(AF11,0)*Assumptions!$B$8</f>
        <v/>
      </c>
      <c r="AG12" s="4">
        <f>MAX(AG11,0)*Assumptions!$B$8</f>
        <v/>
      </c>
      <c r="AH12" s="4">
        <f>MAX(AH11,0)*Assumptions!$B$8</f>
        <v/>
      </c>
      <c r="AI12" s="4">
        <f>MAX(AI11,0)*Assumptions!$B$8</f>
        <v/>
      </c>
      <c r="AJ12" s="4">
        <f>MAX(AJ11,0)*Assumptions!$B$8</f>
        <v/>
      </c>
      <c r="AK12" s="4">
        <f>MAX(AK11,0)*Assumptions!$B$8</f>
        <v/>
      </c>
    </row>
    <row r="13">
      <c r="A13" s="3" t="inlineStr">
        <is>
          <t>Resultat net</t>
        </is>
      </c>
      <c r="B13" s="4">
        <f>B11-B12</f>
        <v/>
      </c>
      <c r="C13" s="4">
        <f>C11-C12</f>
        <v/>
      </c>
      <c r="D13" s="4">
        <f>D11-D12</f>
        <v/>
      </c>
      <c r="E13" s="4">
        <f>E11-E12</f>
        <v/>
      </c>
      <c r="F13" s="4">
        <f>F11-F12</f>
        <v/>
      </c>
      <c r="G13" s="4">
        <f>G11-G12</f>
        <v/>
      </c>
      <c r="H13" s="4">
        <f>H11-H12</f>
        <v/>
      </c>
      <c r="I13" s="4">
        <f>I11-I12</f>
        <v/>
      </c>
      <c r="J13" s="4">
        <f>J11-J12</f>
        <v/>
      </c>
      <c r="K13" s="4">
        <f>K11-K12</f>
        <v/>
      </c>
      <c r="L13" s="4">
        <f>L11-L12</f>
        <v/>
      </c>
      <c r="M13" s="4">
        <f>M11-M12</f>
        <v/>
      </c>
      <c r="N13" s="4">
        <f>N11-N12</f>
        <v/>
      </c>
      <c r="O13" s="4">
        <f>O11-O12</f>
        <v/>
      </c>
      <c r="P13" s="4">
        <f>P11-P12</f>
        <v/>
      </c>
      <c r="Q13" s="4">
        <f>Q11-Q12</f>
        <v/>
      </c>
      <c r="R13" s="4">
        <f>R11-R12</f>
        <v/>
      </c>
      <c r="S13" s="4">
        <f>S11-S12</f>
        <v/>
      </c>
      <c r="T13" s="4">
        <f>T11-T12</f>
        <v/>
      </c>
      <c r="U13" s="4">
        <f>U11-U12</f>
        <v/>
      </c>
      <c r="V13" s="4">
        <f>V11-V12</f>
        <v/>
      </c>
      <c r="W13" s="4">
        <f>W11-W12</f>
        <v/>
      </c>
      <c r="X13" s="4">
        <f>X11-X12</f>
        <v/>
      </c>
      <c r="Y13" s="4">
        <f>Y11-Y12</f>
        <v/>
      </c>
      <c r="Z13" s="4">
        <f>Z11-Z12</f>
        <v/>
      </c>
      <c r="AA13" s="4">
        <f>AA11-AA12</f>
        <v/>
      </c>
      <c r="AB13" s="4">
        <f>AB11-AB12</f>
        <v/>
      </c>
      <c r="AC13" s="4">
        <f>AC11-AC12</f>
        <v/>
      </c>
      <c r="AD13" s="4">
        <f>AD11-AD12</f>
        <v/>
      </c>
      <c r="AE13" s="4">
        <f>AE11-AE12</f>
        <v/>
      </c>
      <c r="AF13" s="4">
        <f>AF11-AF12</f>
        <v/>
      </c>
      <c r="AG13" s="4">
        <f>AG11-AG12</f>
        <v/>
      </c>
      <c r="AH13" s="4">
        <f>AH11-AH12</f>
        <v/>
      </c>
      <c r="AI13" s="4">
        <f>AI11-AI12</f>
        <v/>
      </c>
      <c r="AJ13" s="4">
        <f>AJ11-AJ12</f>
        <v/>
      </c>
      <c r="AK13" s="4">
        <f>AK11-AK12</f>
        <v/>
      </c>
    </row>
    <row r="14">
      <c r="A14" s="3" t="inlineStr">
        <is>
          <t>Marge EBITDA %</t>
        </is>
      </c>
      <c r="B14" s="6">
        <f>IFERROR(B11/B6,0)</f>
        <v/>
      </c>
      <c r="C14" s="6">
        <f>IFERROR(C11/C6,0)</f>
        <v/>
      </c>
      <c r="D14" s="6">
        <f>IFERROR(D11/D6,0)</f>
        <v/>
      </c>
      <c r="E14" s="6">
        <f>IFERROR(E11/E6,0)</f>
        <v/>
      </c>
      <c r="F14" s="6">
        <f>IFERROR(F11/F6,0)</f>
        <v/>
      </c>
      <c r="G14" s="6">
        <f>IFERROR(G11/G6,0)</f>
        <v/>
      </c>
      <c r="H14" s="6">
        <f>IFERROR(H11/H6,0)</f>
        <v/>
      </c>
      <c r="I14" s="6">
        <f>IFERROR(I11/I6,0)</f>
        <v/>
      </c>
      <c r="J14" s="6">
        <f>IFERROR(J11/J6,0)</f>
        <v/>
      </c>
      <c r="K14" s="6">
        <f>IFERROR(K11/K6,0)</f>
        <v/>
      </c>
      <c r="L14" s="6">
        <f>IFERROR(L11/L6,0)</f>
        <v/>
      </c>
      <c r="M14" s="6">
        <f>IFERROR(M11/M6,0)</f>
        <v/>
      </c>
      <c r="N14" s="6">
        <f>IFERROR(N11/N6,0)</f>
        <v/>
      </c>
      <c r="O14" s="6">
        <f>IFERROR(O11/O6,0)</f>
        <v/>
      </c>
      <c r="P14" s="6">
        <f>IFERROR(P11/P6,0)</f>
        <v/>
      </c>
      <c r="Q14" s="6">
        <f>IFERROR(Q11/Q6,0)</f>
        <v/>
      </c>
      <c r="R14" s="6">
        <f>IFERROR(R11/R6,0)</f>
        <v/>
      </c>
      <c r="S14" s="6">
        <f>IFERROR(S11/S6,0)</f>
        <v/>
      </c>
      <c r="T14" s="6">
        <f>IFERROR(T11/T6,0)</f>
        <v/>
      </c>
      <c r="U14" s="6">
        <f>IFERROR(U11/U6,0)</f>
        <v/>
      </c>
      <c r="V14" s="6">
        <f>IFERROR(V11/V6,0)</f>
        <v/>
      </c>
      <c r="W14" s="6">
        <f>IFERROR(W11/W6,0)</f>
        <v/>
      </c>
      <c r="X14" s="6">
        <f>IFERROR(X11/X6,0)</f>
        <v/>
      </c>
      <c r="Y14" s="6">
        <f>IFERROR(Y11/Y6,0)</f>
        <v/>
      </c>
      <c r="Z14" s="6">
        <f>IFERROR(Z11/Z6,0)</f>
        <v/>
      </c>
      <c r="AA14" s="6">
        <f>IFERROR(AA11/AA6,0)</f>
        <v/>
      </c>
      <c r="AB14" s="6">
        <f>IFERROR(AB11/AB6,0)</f>
        <v/>
      </c>
      <c r="AC14" s="6">
        <f>IFERROR(AC11/AC6,0)</f>
        <v/>
      </c>
      <c r="AD14" s="6">
        <f>IFERROR(AD11/AD6,0)</f>
        <v/>
      </c>
      <c r="AE14" s="6">
        <f>IFERROR(AE11/AE6,0)</f>
        <v/>
      </c>
      <c r="AF14" s="6">
        <f>IFERROR(AF11/AF6,0)</f>
        <v/>
      </c>
      <c r="AG14" s="6">
        <f>IFERROR(AG11/AG6,0)</f>
        <v/>
      </c>
      <c r="AH14" s="6">
        <f>IFERROR(AH11/AH6,0)</f>
        <v/>
      </c>
      <c r="AI14" s="6">
        <f>IFERROR(AI11/AI6,0)</f>
        <v/>
      </c>
      <c r="AJ14" s="6">
        <f>IFERROR(AJ11/AJ6,0)</f>
        <v/>
      </c>
      <c r="AK14" s="6">
        <f>IFERROR(AK11/AK6,0)</f>
        <v/>
      </c>
    </row>
    <row r="15"/>
    <row r="16"/>
    <row r="17">
      <c r="A17" s="3" t="inlineStr">
        <is>
          <t>Synthese annuelle</t>
        </is>
      </c>
      <c r="B17" s="15" t="inlineStr">
        <is>
          <t>Annee 1</t>
        </is>
      </c>
      <c r="C17" s="15" t="inlineStr">
        <is>
          <t>Annee 2</t>
        </is>
      </c>
      <c r="D17" s="15" t="inlineStr">
        <is>
          <t>Annee 3</t>
        </is>
      </c>
    </row>
    <row r="18">
      <c r="A18" t="inlineStr">
        <is>
          <t>Chiffre d'Affaires</t>
        </is>
      </c>
      <c r="B18" s="4">
        <f>SUM('P&amp;L'!B6:M6)</f>
        <v/>
      </c>
      <c r="C18" s="4">
        <f>SUM('P&amp;L'!N6:Y6)</f>
        <v/>
      </c>
      <c r="D18" s="4">
        <f>SUM('P&amp;L'!Z6:AK6)</f>
        <v/>
      </c>
    </row>
    <row r="19">
      <c r="A19" t="inlineStr">
        <is>
          <t>Marge brute</t>
        </is>
      </c>
      <c r="B19" s="4">
        <f>SUM('P&amp;L'!B8:M8)</f>
        <v/>
      </c>
      <c r="C19" s="4">
        <f>SUM('P&amp;L'!N8:Y8)</f>
        <v/>
      </c>
      <c r="D19" s="4">
        <f>SUM('P&amp;L'!Z8:AK8)</f>
        <v/>
      </c>
    </row>
    <row r="20">
      <c r="A20" t="inlineStr">
        <is>
          <t>EBITDA</t>
        </is>
      </c>
      <c r="B20" s="4">
        <f>SUM('P&amp;L'!B11:M11)</f>
        <v/>
      </c>
      <c r="C20" s="4">
        <f>SUM('P&amp;L'!N11:Y11)</f>
        <v/>
      </c>
      <c r="D20" s="4">
        <f>SUM('P&amp;L'!Z11:AK11)</f>
        <v/>
      </c>
    </row>
    <row r="21">
      <c r="A21" t="inlineStr">
        <is>
          <t>Resultat net</t>
        </is>
      </c>
      <c r="B21" s="4">
        <f>SUM('P&amp;L'!B13:M13)</f>
        <v/>
      </c>
      <c r="C21" s="4">
        <f>SUM('P&amp;L'!N13:Y13)</f>
        <v/>
      </c>
      <c r="D21" s="4">
        <f>SUM('P&amp;L'!Z13:AK13)</f>
        <v/>
      </c>
    </row>
    <row r="22">
      <c r="A22" t="inlineStr">
        <is>
          <t>Tresorerie finale</t>
        </is>
      </c>
      <c r="B22" s="4">
        <f>'Cashflow'!M12</f>
        <v/>
      </c>
      <c r="C22" s="4">
        <f>'Cashflow'!Y12</f>
        <v/>
      </c>
      <c r="D22" s="4">
        <f>'Cashflow'!AK12</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K12"/>
  <sheetViews>
    <sheetView showGridLines="0"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24" customWidth="1" min="1" max="1"/>
  </cols>
  <sheetData>
    <row r="1">
      <c r="A1" s="1" t="inlineStr">
        <is>
          <t>Flux de Tresorerie</t>
        </is>
      </c>
    </row>
    <row r="2">
      <c r="A2" s="2" t="inlineStr">
        <is>
          <t>Flux de tresorerie reels. C'est l'indicateur de securite et de survie que l'investisseur scrute apres les profits.</t>
        </is>
      </c>
    </row>
    <row r="3"/>
    <row r="4">
      <c r="B4" s="15" t="inlineStr">
        <is>
          <t>2026-06</t>
        </is>
      </c>
      <c r="C4" s="15" t="inlineStr">
        <is>
          <t>2026-07</t>
        </is>
      </c>
      <c r="D4" s="15" t="inlineStr">
        <is>
          <t>2026-08</t>
        </is>
      </c>
      <c r="E4" s="15" t="inlineStr">
        <is>
          <t>2026-09</t>
        </is>
      </c>
      <c r="F4" s="15" t="inlineStr">
        <is>
          <t>2026-10</t>
        </is>
      </c>
      <c r="G4" s="15" t="inlineStr">
        <is>
          <t>2026-11</t>
        </is>
      </c>
      <c r="H4" s="15" t="inlineStr">
        <is>
          <t>2026-12</t>
        </is>
      </c>
      <c r="I4" s="15" t="inlineStr">
        <is>
          <t>2027-01</t>
        </is>
      </c>
      <c r="J4" s="15" t="inlineStr">
        <is>
          <t>2027-02</t>
        </is>
      </c>
      <c r="K4" s="15" t="inlineStr">
        <is>
          <t>2027-03</t>
        </is>
      </c>
      <c r="L4" s="15" t="inlineStr">
        <is>
          <t>2027-04</t>
        </is>
      </c>
      <c r="M4" s="15" t="inlineStr">
        <is>
          <t>2027-05</t>
        </is>
      </c>
      <c r="N4" s="15" t="inlineStr">
        <is>
          <t>2027-06</t>
        </is>
      </c>
      <c r="O4" s="15" t="inlineStr">
        <is>
          <t>2027-07</t>
        </is>
      </c>
      <c r="P4" s="15" t="inlineStr">
        <is>
          <t>2027-08</t>
        </is>
      </c>
      <c r="Q4" s="15" t="inlineStr">
        <is>
          <t>2027-09</t>
        </is>
      </c>
      <c r="R4" s="15" t="inlineStr">
        <is>
          <t>2027-10</t>
        </is>
      </c>
      <c r="S4" s="15" t="inlineStr">
        <is>
          <t>2027-11</t>
        </is>
      </c>
      <c r="T4" s="15" t="inlineStr">
        <is>
          <t>2027-12</t>
        </is>
      </c>
      <c r="U4" s="15" t="inlineStr">
        <is>
          <t>2028-01</t>
        </is>
      </c>
      <c r="V4" s="15" t="inlineStr">
        <is>
          <t>2028-02</t>
        </is>
      </c>
      <c r="W4" s="15" t="inlineStr">
        <is>
          <t>2028-03</t>
        </is>
      </c>
      <c r="X4" s="15" t="inlineStr">
        <is>
          <t>2028-04</t>
        </is>
      </c>
      <c r="Y4" s="15" t="inlineStr">
        <is>
          <t>2028-05</t>
        </is>
      </c>
      <c r="Z4" s="15" t="inlineStr">
        <is>
          <t>2028-06</t>
        </is>
      </c>
      <c r="AA4" s="15" t="inlineStr">
        <is>
          <t>2028-07</t>
        </is>
      </c>
      <c r="AB4" s="15" t="inlineStr">
        <is>
          <t>2028-08</t>
        </is>
      </c>
      <c r="AC4" s="15" t="inlineStr">
        <is>
          <t>2028-09</t>
        </is>
      </c>
      <c r="AD4" s="15" t="inlineStr">
        <is>
          <t>2028-10</t>
        </is>
      </c>
      <c r="AE4" s="15" t="inlineStr">
        <is>
          <t>2028-11</t>
        </is>
      </c>
      <c r="AF4" s="15" t="inlineStr">
        <is>
          <t>2028-12</t>
        </is>
      </c>
      <c r="AG4" s="15" t="inlineStr">
        <is>
          <t>2029-01</t>
        </is>
      </c>
      <c r="AH4" s="15" t="inlineStr">
        <is>
          <t>2029-02</t>
        </is>
      </c>
      <c r="AI4" s="15" t="inlineStr">
        <is>
          <t>2029-03</t>
        </is>
      </c>
      <c r="AJ4" s="15" t="inlineStr">
        <is>
          <t>2029-04</t>
        </is>
      </c>
      <c r="AK4" s="15" t="inlineStr">
        <is>
          <t>2029-05</t>
        </is>
      </c>
    </row>
    <row r="5"/>
    <row r="6">
      <c r="A6" s="3" t="inlineStr">
        <is>
          <t>Solde initial</t>
        </is>
      </c>
      <c r="B6" s="4">
        <f>Assumptions!$B$9</f>
        <v/>
      </c>
      <c r="C6" s="4">
        <f>B12</f>
        <v/>
      </c>
      <c r="D6" s="4">
        <f>C12</f>
        <v/>
      </c>
      <c r="E6" s="4">
        <f>D12</f>
        <v/>
      </c>
      <c r="F6" s="4">
        <f>E12</f>
        <v/>
      </c>
      <c r="G6" s="4">
        <f>F12</f>
        <v/>
      </c>
      <c r="H6" s="4">
        <f>G12</f>
        <v/>
      </c>
      <c r="I6" s="4">
        <f>H12</f>
        <v/>
      </c>
      <c r="J6" s="4">
        <f>I12</f>
        <v/>
      </c>
      <c r="K6" s="4">
        <f>J12</f>
        <v/>
      </c>
      <c r="L6" s="4">
        <f>K12</f>
        <v/>
      </c>
      <c r="M6" s="4">
        <f>L12</f>
        <v/>
      </c>
      <c r="N6" s="4">
        <f>M12</f>
        <v/>
      </c>
      <c r="O6" s="4">
        <f>N12</f>
        <v/>
      </c>
      <c r="P6" s="4">
        <f>O12</f>
        <v/>
      </c>
      <c r="Q6" s="4">
        <f>P12</f>
        <v/>
      </c>
      <c r="R6" s="4">
        <f>Q12</f>
        <v/>
      </c>
      <c r="S6" s="4">
        <f>R12</f>
        <v/>
      </c>
      <c r="T6" s="4">
        <f>S12</f>
        <v/>
      </c>
      <c r="U6" s="4">
        <f>T12</f>
        <v/>
      </c>
      <c r="V6" s="4">
        <f>U12</f>
        <v/>
      </c>
      <c r="W6" s="4">
        <f>V12</f>
        <v/>
      </c>
      <c r="X6" s="4">
        <f>W12</f>
        <v/>
      </c>
      <c r="Y6" s="4">
        <f>X12</f>
        <v/>
      </c>
      <c r="Z6" s="4">
        <f>Y12</f>
        <v/>
      </c>
      <c r="AA6" s="4">
        <f>Z12</f>
        <v/>
      </c>
      <c r="AB6" s="4">
        <f>AA12</f>
        <v/>
      </c>
      <c r="AC6" s="4">
        <f>AB12</f>
        <v/>
      </c>
      <c r="AD6" s="4">
        <f>AC12</f>
        <v/>
      </c>
      <c r="AE6" s="4">
        <f>AD12</f>
        <v/>
      </c>
      <c r="AF6" s="4">
        <f>AE12</f>
        <v/>
      </c>
      <c r="AG6" s="4">
        <f>AF12</f>
        <v/>
      </c>
      <c r="AH6" s="4">
        <f>AG12</f>
        <v/>
      </c>
      <c r="AI6" s="4">
        <f>AH12</f>
        <v/>
      </c>
      <c r="AJ6" s="4">
        <f>AI12</f>
        <v/>
      </c>
      <c r="AK6" s="4">
        <f>AJ12</f>
        <v/>
      </c>
    </row>
    <row r="7">
      <c r="A7" s="3" t="inlineStr">
        <is>
          <t>EBITDA</t>
        </is>
      </c>
      <c r="B7" s="4">
        <f>'P&amp;L'!B11</f>
        <v/>
      </c>
      <c r="C7" s="4">
        <f>'P&amp;L'!C11</f>
        <v/>
      </c>
      <c r="D7" s="4">
        <f>'P&amp;L'!D11</f>
        <v/>
      </c>
      <c r="E7" s="4">
        <f>'P&amp;L'!E11</f>
        <v/>
      </c>
      <c r="F7" s="4">
        <f>'P&amp;L'!F11</f>
        <v/>
      </c>
      <c r="G7" s="4">
        <f>'P&amp;L'!G11</f>
        <v/>
      </c>
      <c r="H7" s="4">
        <f>'P&amp;L'!H11</f>
        <v/>
      </c>
      <c r="I7" s="4">
        <f>'P&amp;L'!I11</f>
        <v/>
      </c>
      <c r="J7" s="4">
        <f>'P&amp;L'!J11</f>
        <v/>
      </c>
      <c r="K7" s="4">
        <f>'P&amp;L'!K11</f>
        <v/>
      </c>
      <c r="L7" s="4">
        <f>'P&amp;L'!L11</f>
        <v/>
      </c>
      <c r="M7" s="4">
        <f>'P&amp;L'!M11</f>
        <v/>
      </c>
      <c r="N7" s="4">
        <f>'P&amp;L'!N11</f>
        <v/>
      </c>
      <c r="O7" s="4">
        <f>'P&amp;L'!O11</f>
        <v/>
      </c>
      <c r="P7" s="4">
        <f>'P&amp;L'!P11</f>
        <v/>
      </c>
      <c r="Q7" s="4">
        <f>'P&amp;L'!Q11</f>
        <v/>
      </c>
      <c r="R7" s="4">
        <f>'P&amp;L'!R11</f>
        <v/>
      </c>
      <c r="S7" s="4">
        <f>'P&amp;L'!S11</f>
        <v/>
      </c>
      <c r="T7" s="4">
        <f>'P&amp;L'!T11</f>
        <v/>
      </c>
      <c r="U7" s="4">
        <f>'P&amp;L'!U11</f>
        <v/>
      </c>
      <c r="V7" s="4">
        <f>'P&amp;L'!V11</f>
        <v/>
      </c>
      <c r="W7" s="4">
        <f>'P&amp;L'!W11</f>
        <v/>
      </c>
      <c r="X7" s="4">
        <f>'P&amp;L'!X11</f>
        <v/>
      </c>
      <c r="Y7" s="4">
        <f>'P&amp;L'!Y11</f>
        <v/>
      </c>
      <c r="Z7" s="4">
        <f>'P&amp;L'!Z11</f>
        <v/>
      </c>
      <c r="AA7" s="4">
        <f>'P&amp;L'!AA11</f>
        <v/>
      </c>
      <c r="AB7" s="4">
        <f>'P&amp;L'!AB11</f>
        <v/>
      </c>
      <c r="AC7" s="4">
        <f>'P&amp;L'!AC11</f>
        <v/>
      </c>
      <c r="AD7" s="4">
        <f>'P&amp;L'!AD11</f>
        <v/>
      </c>
      <c r="AE7" s="4">
        <f>'P&amp;L'!AE11</f>
        <v/>
      </c>
      <c r="AF7" s="4">
        <f>'P&amp;L'!AF11</f>
        <v/>
      </c>
      <c r="AG7" s="4">
        <f>'P&amp;L'!AG11</f>
        <v/>
      </c>
      <c r="AH7" s="4">
        <f>'P&amp;L'!AH11</f>
        <v/>
      </c>
      <c r="AI7" s="4">
        <f>'P&amp;L'!AI11</f>
        <v/>
      </c>
      <c r="AJ7" s="4">
        <f>'P&amp;L'!AJ11</f>
        <v/>
      </c>
      <c r="AK7" s="4">
        <f>'P&amp;L'!AK11</f>
        <v/>
      </c>
    </row>
    <row r="8">
      <c r="A8" s="3" t="inlineStr">
        <is>
          <t>Impots payes</t>
        </is>
      </c>
      <c r="B8" s="4">
        <f>'P&amp;L'!B12</f>
        <v/>
      </c>
      <c r="C8" s="4">
        <f>'P&amp;L'!C12</f>
        <v/>
      </c>
      <c r="D8" s="4">
        <f>'P&amp;L'!D12</f>
        <v/>
      </c>
      <c r="E8" s="4">
        <f>'P&amp;L'!E12</f>
        <v/>
      </c>
      <c r="F8" s="4">
        <f>'P&amp;L'!F12</f>
        <v/>
      </c>
      <c r="G8" s="4">
        <f>'P&amp;L'!G12</f>
        <v/>
      </c>
      <c r="H8" s="4">
        <f>'P&amp;L'!H12</f>
        <v/>
      </c>
      <c r="I8" s="4">
        <f>'P&amp;L'!I12</f>
        <v/>
      </c>
      <c r="J8" s="4">
        <f>'P&amp;L'!J12</f>
        <v/>
      </c>
      <c r="K8" s="4">
        <f>'P&amp;L'!K12</f>
        <v/>
      </c>
      <c r="L8" s="4">
        <f>'P&amp;L'!L12</f>
        <v/>
      </c>
      <c r="M8" s="4">
        <f>'P&amp;L'!M12</f>
        <v/>
      </c>
      <c r="N8" s="4">
        <f>'P&amp;L'!N12</f>
        <v/>
      </c>
      <c r="O8" s="4">
        <f>'P&amp;L'!O12</f>
        <v/>
      </c>
      <c r="P8" s="4">
        <f>'P&amp;L'!P12</f>
        <v/>
      </c>
      <c r="Q8" s="4">
        <f>'P&amp;L'!Q12</f>
        <v/>
      </c>
      <c r="R8" s="4">
        <f>'P&amp;L'!R12</f>
        <v/>
      </c>
      <c r="S8" s="4">
        <f>'P&amp;L'!S12</f>
        <v/>
      </c>
      <c r="T8" s="4">
        <f>'P&amp;L'!T12</f>
        <v/>
      </c>
      <c r="U8" s="4">
        <f>'P&amp;L'!U12</f>
        <v/>
      </c>
      <c r="V8" s="4">
        <f>'P&amp;L'!V12</f>
        <v/>
      </c>
      <c r="W8" s="4">
        <f>'P&amp;L'!W12</f>
        <v/>
      </c>
      <c r="X8" s="4">
        <f>'P&amp;L'!X12</f>
        <v/>
      </c>
      <c r="Y8" s="4">
        <f>'P&amp;L'!Y12</f>
        <v/>
      </c>
      <c r="Z8" s="4">
        <f>'P&amp;L'!Z12</f>
        <v/>
      </c>
      <c r="AA8" s="4">
        <f>'P&amp;L'!AA12</f>
        <v/>
      </c>
      <c r="AB8" s="4">
        <f>'P&amp;L'!AB12</f>
        <v/>
      </c>
      <c r="AC8" s="4">
        <f>'P&amp;L'!AC12</f>
        <v/>
      </c>
      <c r="AD8" s="4">
        <f>'P&amp;L'!AD12</f>
        <v/>
      </c>
      <c r="AE8" s="4">
        <f>'P&amp;L'!AE12</f>
        <v/>
      </c>
      <c r="AF8" s="4">
        <f>'P&amp;L'!AF12</f>
        <v/>
      </c>
      <c r="AG8" s="4">
        <f>'P&amp;L'!AG12</f>
        <v/>
      </c>
      <c r="AH8" s="4">
        <f>'P&amp;L'!AH12</f>
        <v/>
      </c>
      <c r="AI8" s="4">
        <f>'P&amp;L'!AI12</f>
        <v/>
      </c>
      <c r="AJ8" s="4">
        <f>'P&amp;L'!AJ12</f>
        <v/>
      </c>
      <c r="AK8" s="4">
        <f>'P&amp;L'!AK12</f>
        <v/>
      </c>
    </row>
    <row r="9">
      <c r="A9" s="3" t="inlineStr">
        <is>
          <t>Investissements (Capex)</t>
        </is>
      </c>
      <c r="B9" s="21">
        <f>IF(B$4="2026-06",Assumptions!$B$11,IF(B$4="2027-06",20000,IF(B$4="2028-06",15000,0)))</f>
        <v/>
      </c>
      <c r="C9" s="21">
        <f>IF(C$4="2026-06",Assumptions!$B$11,IF(C$4="2027-06",20000,IF(C$4="2028-06",15000,0)))</f>
        <v/>
      </c>
      <c r="D9" s="21">
        <f>IF(D$4="2026-06",Assumptions!$B$11,IF(D$4="2027-06",20000,IF(D$4="2028-06",15000,0)))</f>
        <v/>
      </c>
      <c r="E9" s="21">
        <f>IF(E$4="2026-06",Assumptions!$B$11,IF(E$4="2027-06",20000,IF(E$4="2028-06",15000,0)))</f>
        <v/>
      </c>
      <c r="F9" s="21">
        <f>IF(F$4="2026-06",Assumptions!$B$11,IF(F$4="2027-06",20000,IF(F$4="2028-06",15000,0)))</f>
        <v/>
      </c>
      <c r="G9" s="21">
        <f>IF(G$4="2026-06",Assumptions!$B$11,IF(G$4="2027-06",20000,IF(G$4="2028-06",15000,0)))</f>
        <v/>
      </c>
      <c r="H9" s="21">
        <f>IF(H$4="2026-06",Assumptions!$B$11,IF(H$4="2027-06",20000,IF(H$4="2028-06",15000,0)))</f>
        <v/>
      </c>
      <c r="I9" s="21">
        <f>IF(I$4="2026-06",Assumptions!$B$11,IF(I$4="2027-06",20000,IF(I$4="2028-06",15000,0)))</f>
        <v/>
      </c>
      <c r="J9" s="21">
        <f>IF(J$4="2026-06",Assumptions!$B$11,IF(J$4="2027-06",20000,IF(J$4="2028-06",15000,0)))</f>
        <v/>
      </c>
      <c r="K9" s="21">
        <f>IF(K$4="2026-06",Assumptions!$B$11,IF(K$4="2027-06",20000,IF(K$4="2028-06",15000,0)))</f>
        <v/>
      </c>
      <c r="L9" s="21">
        <f>IF(L$4="2026-06",Assumptions!$B$11,IF(L$4="2027-06",20000,IF(L$4="2028-06",15000,0)))</f>
        <v/>
      </c>
      <c r="M9" s="21">
        <f>IF(M$4="2026-06",Assumptions!$B$11,IF(M$4="2027-06",20000,IF(M$4="2028-06",15000,0)))</f>
        <v/>
      </c>
      <c r="N9" s="21">
        <f>IF(N$4="2026-06",Assumptions!$B$11,IF(N$4="2027-06",20000,IF(N$4="2028-06",15000,0)))</f>
        <v/>
      </c>
      <c r="O9" s="21">
        <f>IF(O$4="2026-06",Assumptions!$B$11,IF(O$4="2027-06",20000,IF(O$4="2028-06",15000,0)))</f>
        <v/>
      </c>
      <c r="P9" s="21">
        <f>IF(P$4="2026-06",Assumptions!$B$11,IF(P$4="2027-06",20000,IF(P$4="2028-06",15000,0)))</f>
        <v/>
      </c>
      <c r="Q9" s="21">
        <f>IF(Q$4="2026-06",Assumptions!$B$11,IF(Q$4="2027-06",20000,IF(Q$4="2028-06",15000,0)))</f>
        <v/>
      </c>
      <c r="R9" s="21">
        <f>IF(R$4="2026-06",Assumptions!$B$11,IF(R$4="2027-06",20000,IF(R$4="2028-06",15000,0)))</f>
        <v/>
      </c>
      <c r="S9" s="21">
        <f>IF(S$4="2026-06",Assumptions!$B$11,IF(S$4="2027-06",20000,IF(S$4="2028-06",15000,0)))</f>
        <v/>
      </c>
      <c r="T9" s="21">
        <f>IF(T$4="2026-06",Assumptions!$B$11,IF(T$4="2027-06",20000,IF(T$4="2028-06",15000,0)))</f>
        <v/>
      </c>
      <c r="U9" s="21">
        <f>IF(U$4="2026-06",Assumptions!$B$11,IF(U$4="2027-06",20000,IF(U$4="2028-06",15000,0)))</f>
        <v/>
      </c>
      <c r="V9" s="21">
        <f>IF(V$4="2026-06",Assumptions!$B$11,IF(V$4="2027-06",20000,IF(V$4="2028-06",15000,0)))</f>
        <v/>
      </c>
      <c r="W9" s="21">
        <f>IF(W$4="2026-06",Assumptions!$B$11,IF(W$4="2027-06",20000,IF(W$4="2028-06",15000,0)))</f>
        <v/>
      </c>
      <c r="X9" s="21">
        <f>IF(X$4="2026-06",Assumptions!$B$11,IF(X$4="2027-06",20000,IF(X$4="2028-06",15000,0)))</f>
        <v/>
      </c>
      <c r="Y9" s="21">
        <f>IF(Y$4="2026-06",Assumptions!$B$11,IF(Y$4="2027-06",20000,IF(Y$4="2028-06",15000,0)))</f>
        <v/>
      </c>
      <c r="Z9" s="21">
        <f>IF(Z$4="2026-06",Assumptions!$B$11,IF(Z$4="2027-06",20000,IF(Z$4="2028-06",15000,0)))</f>
        <v/>
      </c>
      <c r="AA9" s="21">
        <f>IF(AA$4="2026-06",Assumptions!$B$11,IF(AA$4="2027-06",20000,IF(AA$4="2028-06",15000,0)))</f>
        <v/>
      </c>
      <c r="AB9" s="21">
        <f>IF(AB$4="2026-06",Assumptions!$B$11,IF(AB$4="2027-06",20000,IF(AB$4="2028-06",15000,0)))</f>
        <v/>
      </c>
      <c r="AC9" s="21">
        <f>IF(AC$4="2026-06",Assumptions!$B$11,IF(AC$4="2027-06",20000,IF(AC$4="2028-06",15000,0)))</f>
        <v/>
      </c>
      <c r="AD9" s="21">
        <f>IF(AD$4="2026-06",Assumptions!$B$11,IF(AD$4="2027-06",20000,IF(AD$4="2028-06",15000,0)))</f>
        <v/>
      </c>
      <c r="AE9" s="21">
        <f>IF(AE$4="2026-06",Assumptions!$B$11,IF(AE$4="2027-06",20000,IF(AE$4="2028-06",15000,0)))</f>
        <v/>
      </c>
      <c r="AF9" s="21">
        <f>IF(AF$4="2026-06",Assumptions!$B$11,IF(AF$4="2027-06",20000,IF(AF$4="2028-06",15000,0)))</f>
        <v/>
      </c>
      <c r="AG9" s="21">
        <f>IF(AG$4="2026-06",Assumptions!$B$11,IF(AG$4="2027-06",20000,IF(AG$4="2028-06",15000,0)))</f>
        <v/>
      </c>
      <c r="AH9" s="21">
        <f>IF(AH$4="2026-06",Assumptions!$B$11,IF(AH$4="2027-06",20000,IF(AH$4="2028-06",15000,0)))</f>
        <v/>
      </c>
      <c r="AI9" s="21">
        <f>IF(AI$4="2026-06",Assumptions!$B$11,IF(AI$4="2027-06",20000,IF(AI$4="2028-06",15000,0)))</f>
        <v/>
      </c>
      <c r="AJ9" s="21">
        <f>IF(AJ$4="2026-06",Assumptions!$B$11,IF(AJ$4="2027-06",20000,IF(AJ$4="2028-06",15000,0)))</f>
        <v/>
      </c>
      <c r="AK9" s="21">
        <f>IF(AK$4="2026-06",Assumptions!$B$11,IF(AK$4="2027-06",20000,IF(AK$4="2028-06",15000,0)))</f>
        <v/>
      </c>
    </row>
    <row r="10">
      <c r="A10" s="3" t="inlineStr">
        <is>
          <t>Apport financement</t>
        </is>
      </c>
      <c r="B10" s="4" t="inlineStr">
        <is>
          <t>0</t>
        </is>
      </c>
      <c r="C10" s="4" t="inlineStr">
        <is>
          <t>0</t>
        </is>
      </c>
      <c r="D10" s="4" t="inlineStr">
        <is>
          <t>0</t>
        </is>
      </c>
      <c r="E10" s="4" t="inlineStr">
        <is>
          <t>0</t>
        </is>
      </c>
      <c r="F10" s="4" t="inlineStr">
        <is>
          <t>0</t>
        </is>
      </c>
      <c r="G10" s="4" t="inlineStr">
        <is>
          <t>0</t>
        </is>
      </c>
      <c r="H10" s="4" t="inlineStr">
        <is>
          <t>0</t>
        </is>
      </c>
      <c r="I10" s="4" t="inlineStr">
        <is>
          <t>0</t>
        </is>
      </c>
      <c r="J10" s="4" t="inlineStr">
        <is>
          <t>0</t>
        </is>
      </c>
      <c r="K10" s="4" t="inlineStr">
        <is>
          <t>0</t>
        </is>
      </c>
      <c r="L10" s="4" t="inlineStr">
        <is>
          <t>0</t>
        </is>
      </c>
      <c r="M10" s="4" t="inlineStr">
        <is>
          <t>0</t>
        </is>
      </c>
      <c r="N10" s="4" t="inlineStr">
        <is>
          <t>0</t>
        </is>
      </c>
      <c r="O10" s="4" t="inlineStr">
        <is>
          <t>0</t>
        </is>
      </c>
      <c r="P10" s="4" t="inlineStr">
        <is>
          <t>0</t>
        </is>
      </c>
      <c r="Q10" s="4" t="inlineStr">
        <is>
          <t>0</t>
        </is>
      </c>
      <c r="R10" s="4" t="inlineStr">
        <is>
          <t>0</t>
        </is>
      </c>
      <c r="S10" s="4" t="inlineStr">
        <is>
          <t>0</t>
        </is>
      </c>
      <c r="T10" s="4" t="inlineStr">
        <is>
          <t>0</t>
        </is>
      </c>
      <c r="U10" s="4" t="inlineStr">
        <is>
          <t>0</t>
        </is>
      </c>
      <c r="V10" s="4" t="inlineStr">
        <is>
          <t>0</t>
        </is>
      </c>
      <c r="W10" s="4" t="inlineStr">
        <is>
          <t>0</t>
        </is>
      </c>
      <c r="X10" s="4" t="inlineStr">
        <is>
          <t>0</t>
        </is>
      </c>
      <c r="Y10" s="4" t="inlineStr">
        <is>
          <t>0</t>
        </is>
      </c>
      <c r="Z10" s="4" t="inlineStr">
        <is>
          <t>0</t>
        </is>
      </c>
      <c r="AA10" s="4" t="inlineStr">
        <is>
          <t>0</t>
        </is>
      </c>
      <c r="AB10" s="4" t="inlineStr">
        <is>
          <t>0</t>
        </is>
      </c>
      <c r="AC10" s="4" t="inlineStr">
        <is>
          <t>0</t>
        </is>
      </c>
      <c r="AD10" s="4" t="inlineStr">
        <is>
          <t>0</t>
        </is>
      </c>
      <c r="AE10" s="4" t="inlineStr">
        <is>
          <t>0</t>
        </is>
      </c>
      <c r="AF10" s="4" t="inlineStr">
        <is>
          <t>0</t>
        </is>
      </c>
      <c r="AG10" s="4" t="inlineStr">
        <is>
          <t>0</t>
        </is>
      </c>
      <c r="AH10" s="4" t="inlineStr">
        <is>
          <t>0</t>
        </is>
      </c>
      <c r="AI10" s="4" t="inlineStr">
        <is>
          <t>0</t>
        </is>
      </c>
      <c r="AJ10" s="4" t="inlineStr">
        <is>
          <t>0</t>
        </is>
      </c>
      <c r="AK10" s="4" t="inlineStr">
        <is>
          <t>0</t>
        </is>
      </c>
    </row>
    <row r="11">
      <c r="A11" s="3" t="inlineStr">
        <is>
          <t>Flux net de tresorerie</t>
        </is>
      </c>
      <c r="B11" s="4">
        <f>B7-B8-B9+B10</f>
        <v/>
      </c>
      <c r="C11" s="4">
        <f>C7-C8-C9+C10</f>
        <v/>
      </c>
      <c r="D11" s="4">
        <f>D7-D8-D9+D10</f>
        <v/>
      </c>
      <c r="E11" s="4">
        <f>E7-E8-E9+E10</f>
        <v/>
      </c>
      <c r="F11" s="4">
        <f>F7-F8-F9+F10</f>
        <v/>
      </c>
      <c r="G11" s="4">
        <f>G7-G8-G9+G10</f>
        <v/>
      </c>
      <c r="H11" s="4">
        <f>H7-H8-H9+H10</f>
        <v/>
      </c>
      <c r="I11" s="4">
        <f>I7-I8-I9+I10</f>
        <v/>
      </c>
      <c r="J11" s="4">
        <f>J7-J8-J9+J10</f>
        <v/>
      </c>
      <c r="K11" s="4">
        <f>K7-K8-K9+K10</f>
        <v/>
      </c>
      <c r="L11" s="4">
        <f>L7-L8-L9+L10</f>
        <v/>
      </c>
      <c r="M11" s="4">
        <f>M7-M8-M9+M10</f>
        <v/>
      </c>
      <c r="N11" s="4">
        <f>N7-N8-N9+N10</f>
        <v/>
      </c>
      <c r="O11" s="4">
        <f>O7-O8-O9+O10</f>
        <v/>
      </c>
      <c r="P11" s="4">
        <f>P7-P8-P9+P10</f>
        <v/>
      </c>
      <c r="Q11" s="4">
        <f>Q7-Q8-Q9+Q10</f>
        <v/>
      </c>
      <c r="R11" s="4">
        <f>R7-R8-R9+R10</f>
        <v/>
      </c>
      <c r="S11" s="4">
        <f>S7-S8-S9+S10</f>
        <v/>
      </c>
      <c r="T11" s="4">
        <f>T7-T8-T9+T10</f>
        <v/>
      </c>
      <c r="U11" s="4">
        <f>U7-U8-U9+U10</f>
        <v/>
      </c>
      <c r="V11" s="4">
        <f>V7-V8-V9+V10</f>
        <v/>
      </c>
      <c r="W11" s="4">
        <f>W7-W8-W9+W10</f>
        <v/>
      </c>
      <c r="X11" s="4">
        <f>X7-X8-X9+X10</f>
        <v/>
      </c>
      <c r="Y11" s="4">
        <f>Y7-Y8-Y9+Y10</f>
        <v/>
      </c>
      <c r="Z11" s="4">
        <f>Z7-Z8-Z9+Z10</f>
        <v/>
      </c>
      <c r="AA11" s="4">
        <f>AA7-AA8-AA9+AA10</f>
        <v/>
      </c>
      <c r="AB11" s="4">
        <f>AB7-AB8-AB9+AB10</f>
        <v/>
      </c>
      <c r="AC11" s="4">
        <f>AC7-AC8-AC9+AC10</f>
        <v/>
      </c>
      <c r="AD11" s="4">
        <f>AD7-AD8-AD9+AD10</f>
        <v/>
      </c>
      <c r="AE11" s="4">
        <f>AE7-AE8-AE9+AE10</f>
        <v/>
      </c>
      <c r="AF11" s="4">
        <f>AF7-AF8-AF9+AF10</f>
        <v/>
      </c>
      <c r="AG11" s="4">
        <f>AG7-AG8-AG9+AG10</f>
        <v/>
      </c>
      <c r="AH11" s="4">
        <f>AH7-AH8-AH9+AH10</f>
        <v/>
      </c>
      <c r="AI11" s="4">
        <f>AI7-AI8-AI9+AI10</f>
        <v/>
      </c>
      <c r="AJ11" s="4">
        <f>AJ7-AJ8-AJ9+AJ10</f>
        <v/>
      </c>
      <c r="AK11" s="4">
        <f>AK7-AK8-AK9+AK10</f>
        <v/>
      </c>
    </row>
    <row r="12">
      <c r="A12" s="3" t="inlineStr">
        <is>
          <t>Solde final</t>
        </is>
      </c>
      <c r="B12" s="4">
        <f>B6+B11</f>
        <v/>
      </c>
      <c r="C12" s="4">
        <f>C6+C11</f>
        <v/>
      </c>
      <c r="D12" s="4">
        <f>D6+D11</f>
        <v/>
      </c>
      <c r="E12" s="4">
        <f>E6+E11</f>
        <v/>
      </c>
      <c r="F12" s="4">
        <f>F6+F11</f>
        <v/>
      </c>
      <c r="G12" s="4">
        <f>G6+G11</f>
        <v/>
      </c>
      <c r="H12" s="4">
        <f>H6+H11</f>
        <v/>
      </c>
      <c r="I12" s="4">
        <f>I6+I11</f>
        <v/>
      </c>
      <c r="J12" s="4">
        <f>J6+J11</f>
        <v/>
      </c>
      <c r="K12" s="4">
        <f>K6+K11</f>
        <v/>
      </c>
      <c r="L12" s="4">
        <f>L6+L11</f>
        <v/>
      </c>
      <c r="M12" s="4">
        <f>M6+M11</f>
        <v/>
      </c>
      <c r="N12" s="4">
        <f>N6+N11</f>
        <v/>
      </c>
      <c r="O12" s="4">
        <f>O6+O11</f>
        <v/>
      </c>
      <c r="P12" s="4">
        <f>P6+P11</f>
        <v/>
      </c>
      <c r="Q12" s="4">
        <f>Q6+Q11</f>
        <v/>
      </c>
      <c r="R12" s="4">
        <f>R6+R11</f>
        <v/>
      </c>
      <c r="S12" s="4">
        <f>S6+S11</f>
        <v/>
      </c>
      <c r="T12" s="4">
        <f>T6+T11</f>
        <v/>
      </c>
      <c r="U12" s="4">
        <f>U6+U11</f>
        <v/>
      </c>
      <c r="V12" s="4">
        <f>V6+V11</f>
        <v/>
      </c>
      <c r="W12" s="4">
        <f>W6+W11</f>
        <v/>
      </c>
      <c r="X12" s="4">
        <f>X6+X11</f>
        <v/>
      </c>
      <c r="Y12" s="4">
        <f>Y6+Y11</f>
        <v/>
      </c>
      <c r="Z12" s="4">
        <f>Z6+Z11</f>
        <v/>
      </c>
      <c r="AA12" s="4">
        <f>AA6+AA11</f>
        <v/>
      </c>
      <c r="AB12" s="4">
        <f>AB6+AB11</f>
        <v/>
      </c>
      <c r="AC12" s="4">
        <f>AC6+AC11</f>
        <v/>
      </c>
      <c r="AD12" s="4">
        <f>AD6+AD11</f>
        <v/>
      </c>
      <c r="AE12" s="4">
        <f>AE6+AE11</f>
        <v/>
      </c>
      <c r="AF12" s="4">
        <f>AF6+AF11</f>
        <v/>
      </c>
      <c r="AG12" s="4">
        <f>AG6+AG11</f>
        <v/>
      </c>
      <c r="AH12" s="4">
        <f>AH6+AH11</f>
        <v/>
      </c>
      <c r="AI12" s="4">
        <f>AI6+AI11</f>
        <v/>
      </c>
      <c r="AJ12" s="4">
        <f>AJ6+AJ11</f>
        <v/>
      </c>
      <c r="AK12" s="4">
        <f>AK6+AK11</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38" customWidth="1" min="1" max="1"/>
    <col width="18" customWidth="1" min="2" max="2"/>
    <col width="60" customWidth="1" min="3" max="3"/>
  </cols>
  <sheetData>
    <row r="1">
      <c r="A1" s="1" t="inlineStr">
        <is>
          <t>Plan de Financement</t>
        </is>
      </c>
    </row>
    <row r="2">
      <c r="A2" s="2" t="inlineStr">
        <is>
          <t>Deux visions : developpement commando (autofinance) et developpement accelere (levée de fonds).</t>
        </is>
      </c>
    </row>
    <row r="3"/>
    <row r="4">
      <c r="A4" s="15" t="inlineStr">
        <is>
          <t>Poste</t>
        </is>
      </c>
      <c r="B4" s="15" t="inlineStr">
        <is>
          <t>Montant / Part</t>
        </is>
      </c>
      <c r="C4" s="15" t="inlineStr">
        <is>
          <t>Remarques</t>
        </is>
      </c>
    </row>
    <row r="5">
      <c r="A5" s="3" t="inlineStr">
        <is>
          <t>Besoin minimum (Runway lean)</t>
        </is>
      </c>
      <c r="B5" s="4" t="n">
        <v>300000</v>
      </c>
      <c r="C5" t="inlineStr">
        <is>
          <t>Suffisant si pilote par le fondateur et livraison stricte.</t>
        </is>
      </c>
    </row>
    <row r="6">
      <c r="A6" s="3" t="inlineStr">
        <is>
          <t>Financement recommande (Seed)</t>
        </is>
      </c>
      <c r="B6" s="4" t="n">
        <v>1200000</v>
      </c>
      <c r="C6" s="8" t="inlineStr">
        <is>
          <t>Capital d'acceleration : force commerciale, experts, IP et reserve.</t>
        </is>
      </c>
    </row>
    <row r="7">
      <c r="A7" s="3" t="inlineStr">
        <is>
          <t>Affectation : Ventes &amp; Image de marque</t>
        </is>
      </c>
      <c r="B7" s="6" t="n">
        <v>0.25</v>
      </c>
      <c r="C7" t="inlineStr">
        <is>
          <t>Creation de contenu, visibilite, acquisition et conversion.</t>
        </is>
      </c>
    </row>
    <row r="8">
      <c r="A8" s="3" t="inlineStr">
        <is>
          <t>Affectation : Capacite de livraison</t>
        </is>
      </c>
      <c r="B8" s="6" t="n">
        <v>0.3</v>
      </c>
      <c r="C8" t="inlineStr">
        <is>
          <t>Sous-traitants, support technique et vitesse d'execution.</t>
        </is>
      </c>
    </row>
    <row r="9">
      <c r="A9" s="3" t="inlineStr">
        <is>
          <t>Affectation : Standardisation &amp; IP</t>
        </is>
      </c>
      <c r="B9" s="6" t="n">
        <v>0.2</v>
      </c>
      <c r="C9" s="8" t="inlineStr">
        <is>
          <t>Modeles d'agents, outils internes, capitalisation et architecture.</t>
        </is>
      </c>
    </row>
    <row r="10">
      <c r="A10" s="3" t="inlineStr">
        <is>
          <t>Affectation : Conformite &amp; Administration</t>
        </is>
      </c>
      <c r="B10" s="6" t="n">
        <v>0.1</v>
      </c>
      <c r="C10" s="8" t="inlineStr">
        <is>
          <t>Fiscalite locale, contrats, structure et standards juridiques.</t>
        </is>
      </c>
    </row>
    <row r="11">
      <c r="A11" s="3" t="inlineStr">
        <is>
          <t>Affectation : Reserve de roulement</t>
        </is>
      </c>
      <c r="B11" s="6" t="n">
        <v>0.15</v>
      </c>
      <c r="C11" t="inlineStr">
        <is>
          <t>Securiser l'entreprise face aux delais de paiement.</t>
        </is>
      </c>
    </row>
    <row r="12"/>
    <row r="13"/>
    <row r="14">
      <c r="A14" t="inlineStr">
        <is>
          <t>Note stratégique</t>
        </is>
      </c>
      <c r="B14" s="8" t="inlineStr">
        <is>
          <t>L'entreprise n'a pas besoin de fonds demesures pour exister. La levee de fonds sert uniquement a accelerer la commercialisation et a proteger le temps du fondateur pour fiabiliser la livraison.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38" customWidth="1" min="1" max="1"/>
    <col width="16" customWidth="1" min="2" max="2"/>
    <col width="16" customWidth="1" min="3" max="3"/>
    <col width="16" customWidth="1" min="4" max="4"/>
  </cols>
  <sheetData>
    <row r="1">
      <c r="A1" s="1" t="inlineStr">
        <is>
          <t>Analyse des Scenarios</t>
        </is>
      </c>
    </row>
    <row r="2">
      <c r="A2" s="2" t="inlineStr">
        <is>
          <t>Scénarios conservateurs, de base et agressifs pour tester la resistance du modele.</t>
        </is>
      </c>
    </row>
    <row r="3"/>
    <row r="4">
      <c r="A4" s="15" t="inlineStr">
        <is>
          <t>Indicateur</t>
        </is>
      </c>
      <c r="B4" s="15" t="inlineStr">
        <is>
          <t>Conservateur</t>
        </is>
      </c>
      <c r="C4" s="15" t="inlineStr">
        <is>
          <t>Reference (Base)</t>
        </is>
      </c>
      <c r="D4" s="15" t="inlineStr">
        <is>
          <t>Optimiste</t>
        </is>
      </c>
    </row>
    <row r="5">
      <c r="A5" t="inlineStr">
        <is>
          <t>CA - Annee 1</t>
        </is>
      </c>
      <c r="B5" s="4" t="n">
        <v>1470711</v>
      </c>
      <c r="C5" s="4" t="n">
        <v>1793550</v>
      </c>
      <c r="D5" s="4" t="n">
        <v>2116389</v>
      </c>
    </row>
    <row r="6">
      <c r="A6" t="inlineStr">
        <is>
          <t>CA - Annee 2</t>
        </is>
      </c>
      <c r="B6" s="4" t="n">
        <v>3132687</v>
      </c>
      <c r="C6" s="4" t="n">
        <v>3820350</v>
      </c>
      <c r="D6" s="4" t="n">
        <v>4508013</v>
      </c>
    </row>
    <row r="7">
      <c r="A7" t="inlineStr">
        <is>
          <t>CA - Annee 3</t>
        </is>
      </c>
      <c r="B7" s="4" t="n">
        <v>4593927</v>
      </c>
      <c r="C7" s="4" t="n">
        <v>5602350</v>
      </c>
      <c r="D7" s="4" t="n">
        <v>6610773</v>
      </c>
    </row>
    <row r="8">
      <c r="A8" t="inlineStr">
        <is>
          <t>EBITDA - Annee 1</t>
        </is>
      </c>
      <c r="B8" s="4" t="n">
        <v>38801.10000000001</v>
      </c>
      <c r="C8" s="4" t="n">
        <v>309855</v>
      </c>
      <c r="D8" s="4" t="n">
        <v>440508.9</v>
      </c>
    </row>
    <row r="9">
      <c r="A9" t="inlineStr">
        <is>
          <t>EBITDA - Annee 2</t>
        </is>
      </c>
      <c r="B9" s="4" t="n">
        <v>851587.5</v>
      </c>
      <c r="C9" s="4" t="n">
        <v>1368375</v>
      </c>
      <c r="D9" s="4" t="n">
        <v>1708762.5</v>
      </c>
    </row>
    <row r="10">
      <c r="A10" t="inlineStr">
        <is>
          <t>EBITDA - Annee 3</t>
        </is>
      </c>
      <c r="B10" s="4" t="n">
        <v>1557705.9</v>
      </c>
      <c r="C10" s="4" t="n">
        <v>2298495</v>
      </c>
      <c r="D10" s="4" t="n">
        <v>2825984.1</v>
      </c>
    </row>
    <row r="11">
      <c r="A11" t="inlineStr">
        <is>
          <t>Tresorerie finale (Mois 36)</t>
        </is>
      </c>
      <c r="B11" s="4" t="n">
        <v>2603094.5</v>
      </c>
      <c r="C11" s="4" t="n">
        <v>4131725</v>
      </c>
      <c r="D11" s="4" t="n">
        <v>5130255.499999999</v>
      </c>
    </row>
    <row r="12"/>
    <row r="13"/>
    <row r="14">
      <c r="A14" t="inlineStr">
        <is>
          <t>Constats sur le modele de base :</t>
        </is>
      </c>
    </row>
    <row r="15">
      <c r="A15" t="inlineStr">
        <is>
          <t>Mois d'equilibre (seuil) : 4</t>
        </is>
      </c>
    </row>
    <row r="16">
      <c r="A16" t="inlineStr">
        <is>
          <t>Marge brute moyenne (annee 1) : 69.5%</t>
        </is>
      </c>
    </row>
    <row r="17">
      <c r="A17" t="inlineStr">
        <is>
          <t>Solde de tresorerie final (mois 36) : ZAR 4,131,725</t>
        </is>
      </c>
    </row>
    <row r="18">
      <c r="A18" s="8" t="inlineStr">
        <is>
          <t>Le scenario conservateur majore l'Opex de 5% et minore les revenus attendus de 18%.</t>
        </is>
      </c>
    </row>
    <row r="19">
      <c r="A19" s="8" t="inlineStr">
        <is>
          <t>Le scenario optimiste augmente les ventes de 18% avec un Opex ajuste a +10% pour absorber le scale.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6"/>
  <sheetViews>
    <sheetView showGridLines="0" workbookViewId="0">
      <selection activeCell="A1" sqref="A1"/>
    </sheetView>
  </sheetViews>
  <sheetFormatPr baseColWidth="8" defaultRowHeight="15"/>
  <cols>
    <col width="12" customWidth="1" min="1" max="1"/>
    <col width="34" customWidth="1" min="2" max="2"/>
    <col width="34" customWidth="1" min="3" max="3"/>
    <col width="72" customWidth="1" min="4" max="4"/>
    <col width="14" customWidth="1" min="5" max="5"/>
  </cols>
  <sheetData>
    <row r="1">
      <c r="A1" s="1" t="inlineStr">
        <is>
          <t>Gestion des Risques &amp; Q&amp;A</t>
        </is>
      </c>
    </row>
    <row r="2">
      <c r="A2" s="2" t="inlineStr">
        <is>
          <t>Questions et objections susceptibles d'etre posees par des partenaires ou investisseurs.</t>
        </is>
      </c>
    </row>
    <row r="3"/>
    <row r="4">
      <c r="A4" s="15" t="inlineStr">
        <is>
          <t>Type</t>
        </is>
      </c>
      <c r="B4" s="15" t="inlineStr">
        <is>
          <t>Sujet</t>
        </is>
      </c>
      <c r="C4" s="15" t="inlineStr">
        <is>
          <t>Risque / Question</t>
        </is>
      </c>
      <c r="D4" s="15" t="inlineStr">
        <is>
          <t>Response / Mitigation</t>
        </is>
      </c>
      <c r="E4" s="15" t="inlineStr">
        <is>
          <t>Responsable</t>
        </is>
      </c>
    </row>
    <row r="5">
      <c r="A5" s="8" t="inlineStr">
        <is>
          <t>Risque</t>
        </is>
      </c>
      <c r="B5" s="8" t="inlineStr">
        <is>
          <t>Demande trop lente</t>
        </is>
      </c>
      <c r="C5" s="8" t="inlineStr">
        <is>
          <t>Demande trop lente</t>
        </is>
      </c>
      <c r="D5" s="8" t="inlineStr">
        <is>
          <t>Probabilite : Moyenne | Declencheur : Pipeline sous l'objectif pendant 2+ mois | Plan d'action : Maintenir des couts fixes bas, intensifier la prospection, packager une offre d'audit plus rapide</t>
        </is>
      </c>
      <c r="E5" s="8" t="inlineStr">
        <is>
          <t>CEO</t>
        </is>
      </c>
    </row>
    <row r="6">
      <c r="A6" s="8" t="inlineStr">
        <is>
          <t>Risque</t>
        </is>
      </c>
      <c r="B6" s="8" t="inlineStr">
        <is>
          <t>Derive du perimetre (Scope Creep)</t>
        </is>
      </c>
      <c r="C6" s="8" t="inlineStr">
        <is>
          <t>Derive du perimetre (Scope Creep)</t>
        </is>
      </c>
      <c r="D6" s="8" t="inlineStr">
        <is>
          <t>Probabilite : Moyenne | Declencheur : Projets derivant vers du travail sur mesure | Plan d'action : Garder 3 offres productisees et appliquer une regle stricte de devis complementaire</t>
        </is>
      </c>
      <c r="E6" s="8" t="inlineStr">
        <is>
          <t>Directeur Livraison</t>
        </is>
      </c>
    </row>
    <row r="7">
      <c r="A7" s="8" t="inlineStr">
        <is>
          <t>Risque</t>
        </is>
      </c>
      <c r="B7" s="8" t="inlineStr">
        <is>
          <t>Dependance au fondateur</t>
        </is>
      </c>
      <c r="C7" s="8" t="inlineStr">
        <is>
          <t>Dependance au fondateur</t>
        </is>
      </c>
      <c r="D7" s="8" t="inlineStr">
        <is>
          <t>Probabilite : Elevee | Declencheur : Toutes les ventes et la livraison dependent d'une seule personne | Plan d'action : Documenter les procedures (SOPs), deleguer la livraison, batir un vivier de partenaires</t>
        </is>
      </c>
      <c r="E7" s="8" t="inlineStr">
        <is>
          <t>CEO</t>
        </is>
      </c>
    </row>
    <row r="8">
      <c r="A8" s="8" t="inlineStr">
        <is>
          <t>Risque</t>
        </is>
      </c>
      <c r="B8" s="8" t="inlineStr">
        <is>
          <t>Tension sur la tresorerie</t>
        </is>
      </c>
      <c r="C8" s="8" t="inlineStr">
        <is>
          <t>Tension sur la tresorerie</t>
        </is>
      </c>
      <c r="D8" s="8" t="inlineStr">
        <is>
          <t>Probabilite : Moyenne | Declencheur : La tresorerie nette descend sous 2 mois de frais de fonctionnement | Plan d'action : Geler les recrutements non critiques, prioriser la vente d'abonnements</t>
        </is>
      </c>
      <c r="E8" s="8" t="inlineStr">
        <is>
          <t>Finance</t>
        </is>
      </c>
    </row>
    <row r="9">
      <c r="A9" s="8" t="inlineStr">
        <is>
          <t>Risque</t>
        </is>
      </c>
      <c r="B9" s="8" t="inlineStr">
        <is>
          <t>Retard fiscal / conformite</t>
        </is>
      </c>
      <c r="C9" s="8" t="inlineStr">
        <is>
          <t>Retard fiscal / conformite</t>
        </is>
      </c>
      <c r="D9" s="8" t="inlineStr">
        <is>
          <t>Probabilite : Faible | Declencheur : Declaration TVA ou publications legales en retard | Plan d'action : Suivre une checklist mensuelle et faire valider par un expert-comptable externe</t>
        </is>
      </c>
      <c r="E9" s="8" t="inlineStr">
        <is>
          <t>Ops</t>
        </is>
      </c>
    </row>
    <row r="10">
      <c r="A10" s="8" t="inlineStr">
        <is>
          <t>Risque</t>
        </is>
      </c>
      <c r="B10" s="8" t="inlineStr">
        <is>
          <t>Confusion sur le positionnement</t>
        </is>
      </c>
      <c r="C10" s="8" t="inlineStr">
        <is>
          <t>Confusion sur le positionnement</t>
        </is>
      </c>
      <c r="D10" s="8" t="inlineStr">
        <is>
          <t>Probabilite : Moyenne | Declencheur : Les prospects nous considerent comme une simple agence | Plan d'action : Marteler notre narratif clair : Forge = execution, Sovereign = autonomie</t>
        </is>
      </c>
      <c r="E10" s="8" t="inlineStr">
        <is>
          <t>Marque</t>
        </is>
      </c>
    </row>
    <row r="11">
      <c r="A11" s="8" t="inlineStr">
        <is>
          <t>Risque</t>
        </is>
      </c>
      <c r="B11" s="8" t="inlineStr">
        <is>
          <t>Derive de l'implementation</t>
        </is>
      </c>
      <c r="C11" s="8" t="inlineStr">
        <is>
          <t>Derive de l'implementation</t>
        </is>
      </c>
      <c r="D11" s="8" t="inlineStr">
        <is>
          <t>Probabilite : Elevee | Declencheur : Les projets d'implementation s'allongent sans garde-fous de ROI | Plan d'action : Definir les criteres de succes en amont et vendre au forfait base sur la valeur</t>
        </is>
      </c>
      <c r="E11" s="8" t="inlineStr">
        <is>
          <t>Directeur Livraison</t>
        </is>
      </c>
    </row>
    <row r="12">
      <c r="A12" s="8" t="inlineStr">
        <is>
          <t>Q&amp;A</t>
        </is>
      </c>
      <c r="B12" s="8" t="inlineStr">
        <is>
          <t>Qu'est-ce qu'Opays Tech ?</t>
        </is>
      </c>
      <c r="C12" s="8" t="inlineStr">
        <is>
          <t>Qu'est-ce qu'Opays Tech ?</t>
        </is>
      </c>
      <c r="D12" s="8" t="inlineStr">
        <is>
          <t>Un cabinet d'ingenierie de l'efficience : nous simplifions les operations, automatisons les taches repetitives et integrons l'IA uniquement la ou elle apporte une valeur mesurable.</t>
        </is>
      </c>
      <c r="E12" s="8" t="inlineStr">
        <is>
          <t>Opays</t>
        </is>
      </c>
    </row>
    <row r="13">
      <c r="A13" s="8" t="inlineStr">
        <is>
          <t>Q&amp;A</t>
        </is>
      </c>
      <c r="B13" s="8" t="inlineStr">
        <is>
          <t>Pourquoi deux branches ?</t>
        </is>
      </c>
      <c r="C13" s="8" t="inlineStr">
        <is>
          <t>Pourquoi deux branches ?</t>
        </is>
      </c>
      <c r="D13" s="8" t="inlineStr">
        <is>
          <t>Forge est le moteur de cash : diagnostics, implementation, retainers. Sovereign est le moteur d'autonomie : recherche, resilience, intelligence strategique.</t>
        </is>
      </c>
      <c r="E13" s="8" t="inlineStr">
        <is>
          <t>Opays</t>
        </is>
      </c>
    </row>
    <row r="14">
      <c r="A14" s="8" t="inlineStr">
        <is>
          <t>Q&amp;A</t>
        </is>
      </c>
      <c r="B14" s="8" t="inlineStr">
        <is>
          <t>Pourquoi maintenant ?</t>
        </is>
      </c>
      <c r="C14" s="8" t="inlineStr">
        <is>
          <t>Pourquoi maintenant ?</t>
        </is>
      </c>
      <c r="D14" s="8" t="inlineStr">
        <is>
          <t>Les entreprises subissent des pressions sur leurs couts, les equipes sont surchargees et l'adoption de l'IA reste fragmentee. Il faut passer de la hype a l'execution concrete.</t>
        </is>
      </c>
      <c r="E14" s="8" t="inlineStr">
        <is>
          <t>Opays</t>
        </is>
      </c>
    </row>
    <row r="15">
      <c r="A15" s="8" t="inlineStr">
        <is>
          <t>Q&amp;A</t>
        </is>
      </c>
      <c r="B15" s="8" t="inlineStr">
        <is>
          <t>Qu'est-ce qui rend ce modele credible ?</t>
        </is>
      </c>
      <c r="C15" s="8" t="inlineStr">
        <is>
          <t>Qu'est-ce qui rend ce modele credible ?</t>
        </is>
      </c>
      <c r="D15" s="8" t="inlineStr">
        <is>
          <t>Il est oriente services, conscient des marges, productise et fonde sur des gains operationnels reels plutot que sur des promesses vagues d'innovation.</t>
        </is>
      </c>
      <c r="E15" s="8" t="inlineStr">
        <is>
          <t>Opays</t>
        </is>
      </c>
    </row>
    <row r="16">
      <c r="A16" s="8" t="inlineStr">
        <is>
          <t>Q&amp;A</t>
        </is>
      </c>
      <c r="B16" s="8" t="inlineStr">
        <is>
          <t>Comment gagnez-vous de l'argent ?</t>
        </is>
      </c>
      <c r="C16" s="8" t="inlineStr">
        <is>
          <t>Comment gagnez-vous de l'argent ?</t>
        </is>
      </c>
      <c r="D16" s="8" t="inlineStr">
        <is>
          <t>Via des audits, des sprints d'efficience, des projets d'implementation, des abonnements d'accompagnement et des dossiers strategiques premium.</t>
        </is>
      </c>
      <c r="E16" s="8" t="inlineStr">
        <is>
          <t>Opays</t>
        </is>
      </c>
    </row>
    <row r="17">
      <c r="A17" s="8" t="inlineStr">
        <is>
          <t>Q&amp;A</t>
        </is>
      </c>
      <c r="B17" s="8" t="inlineStr">
        <is>
          <t>Quelle est la logique tarifaire ?</t>
        </is>
      </c>
      <c r="C17" s="8" t="inlineStr">
        <is>
          <t>Quelle est la logique tarifaire ?</t>
        </is>
      </c>
      <c r="D17" s="8" t="inlineStr">
        <is>
          <t>Les offres d'entree (audit) ont peu de friction, les sprints et l'implementation capturent la valeur creee, et les retainers apportent la stabilite.</t>
        </is>
      </c>
      <c r="E17" s="8" t="inlineStr">
        <is>
          <t>Opays</t>
        </is>
      </c>
    </row>
    <row r="18">
      <c r="A18" s="8" t="inlineStr">
        <is>
          <t>Q&amp;A</t>
        </is>
      </c>
      <c r="B18" s="8" t="inlineStr">
        <is>
          <t>Comment evitez-vous le piege des agences de services ?</t>
        </is>
      </c>
      <c r="C18" s="8" t="inlineStr">
        <is>
          <t>Comment evitez-vous le piege des agences de services ?</t>
        </is>
      </c>
      <c r="D18" s="8" t="inlineStr">
        <is>
          <t>En vendant des resultats operationnels, en limitant notre catalogue d'offres et en suivant une methode structuree avec des livrables standardises.</t>
        </is>
      </c>
      <c r="E18" s="8" t="inlineStr">
        <is>
          <t>Opays</t>
        </is>
      </c>
    </row>
    <row r="19">
      <c r="A19" s="8" t="inlineStr">
        <is>
          <t>Q&amp;A</t>
        </is>
      </c>
      <c r="B19" s="8" t="inlineStr">
        <is>
          <t>Quelles sont les marges ?</t>
        </is>
      </c>
      <c r="C19" s="8" t="inlineStr">
        <is>
          <t>Quelles sont les marges ?</t>
        </is>
      </c>
      <c r="D19" s="8" t="inlineStr">
        <is>
          <t>Le modele vise des marges brutes elevees grace a des methodes repetables et des actifs reutilisables. Le classeur utilise des hypotheses de couts directes prudentes.</t>
        </is>
      </c>
      <c r="E19" s="8" t="inlineStr">
        <is>
          <t>Opays</t>
        </is>
      </c>
    </row>
    <row r="20">
      <c r="A20" s="8" t="inlineStr">
        <is>
          <t>Q&amp;A</t>
        </is>
      </c>
      <c r="B20" s="8" t="inlineStr">
        <is>
          <t>Pourquoi la marge brute n'est-elle pas de 90% ?</t>
        </is>
      </c>
      <c r="C20" s="8" t="inlineStr">
        <is>
          <t>Pourquoi la marge brute n'est-elle pas de 90% ?</t>
        </is>
      </c>
      <c r="D20" s="8" t="inlineStr">
        <is>
          <t>Parce que nous ne masquons pas les couts reels de livraison. Nous reservons une marge saine pour le temps des specialistes et l'execution terrain.</t>
        </is>
      </c>
      <c r="E20" s="8" t="inlineStr">
        <is>
          <t>Opays</t>
        </is>
      </c>
    </row>
    <row r="21">
      <c r="A21" s="8" t="inlineStr">
        <is>
          <t>Q&amp;A</t>
        </is>
      </c>
      <c r="B21" s="8" t="inlineStr">
        <is>
          <t>Quel est le fit avec le marche local ?</t>
        </is>
      </c>
      <c r="C21" s="8" t="inlineStr">
        <is>
          <t>Quel est le fit avec le marche local ?</t>
        </is>
      </c>
      <c r="D21" s="8" t="inlineStr">
        <is>
          <t>Le marche demande de la clarte, de la fiabilite et de l'automatisation pratique. Notre offre est lisible, realiste et libellee en ZAR.</t>
        </is>
      </c>
      <c r="E21" s="8" t="inlineStr">
        <is>
          <t>Opays</t>
        </is>
      </c>
    </row>
    <row r="22">
      <c r="A22" s="8" t="inlineStr">
        <is>
          <t>Q&amp;A</t>
        </is>
      </c>
      <c r="B22" s="8" t="inlineStr">
        <is>
          <t>Comment vendez-vous ?</t>
        </is>
      </c>
      <c r="C22" s="8" t="inlineStr">
        <is>
          <t>Comment vendez-vous ?</t>
        </is>
      </c>
      <c r="D22" s="8" t="inlineStr">
        <is>
          <t>LinkedIn, presse locale, recommandations, prospection directe, et un site web clair qui convertit l'interet en appels de decouverte ou audits.</t>
        </is>
      </c>
      <c r="E22" s="8" t="inlineStr">
        <is>
          <t>Opays</t>
        </is>
      </c>
    </row>
    <row r="23">
      <c r="A23" s="8" t="inlineStr">
        <is>
          <t>Q&amp;A</t>
        </is>
      </c>
      <c r="B23" s="8" t="inlineStr">
        <is>
          <t>Comment convertissez-vous l'attention en revenus ?</t>
        </is>
      </c>
      <c r="C23" s="8" t="inlineStr">
        <is>
          <t>Comment convertissez-vous l'attention en revenus ?</t>
        </is>
      </c>
      <c r="D23" s="8" t="inlineStr">
        <is>
          <t>Le parcours est direct : attention -&gt; audit -&gt; sprint -&gt; projet -&gt; retainer. Cette sequence est modélisee dans l'onglet Pipeline.</t>
        </is>
      </c>
      <c r="E23" s="8" t="inlineStr">
        <is>
          <t>Opays</t>
        </is>
      </c>
    </row>
    <row r="24">
      <c r="A24" s="8" t="inlineStr">
        <is>
          <t>Q&amp;A</t>
        </is>
      </c>
      <c r="B24" s="8" t="inlineStr">
        <is>
          <t>Que faire si la demande est plus faible que prevu ?</t>
        </is>
      </c>
      <c r="C24" s="8" t="inlineStr">
        <is>
          <t>Que faire si la demande est plus faible que prevu ?</t>
        </is>
      </c>
      <c r="D24" s="8" t="inlineStr">
        <is>
          <t>L'entreprise peut fonctionner en mode commando (lean). Le classeur inclut un scenario conservateur et maintient les frais de fonctionnement sous controle.</t>
        </is>
      </c>
      <c r="E24" s="8" t="inlineStr">
        <is>
          <t>Opays</t>
        </is>
      </c>
    </row>
    <row r="25">
      <c r="A25" s="8" t="inlineStr">
        <is>
          <t>Q&amp;A</t>
        </is>
      </c>
      <c r="B25" s="8" t="inlineStr">
        <is>
          <t>Comment protegez-vous la qualite de livraison ?</t>
        </is>
      </c>
      <c r="C25" s="8" t="inlineStr">
        <is>
          <t>Comment protegez-vous la qualite de livraison ?</t>
        </is>
      </c>
      <c r="D25" s="8" t="inlineStr">
        <is>
          <t>En standardisant notre methode, en appliquant des checklists strictes et en interdisant les derives de perimetre non facturees.</t>
        </is>
      </c>
      <c r="E25" s="8" t="inlineStr">
        <is>
          <t>Opays</t>
        </is>
      </c>
    </row>
    <row r="26">
      <c r="A26" s="8" t="inlineStr">
        <is>
          <t>Q&amp;A</t>
        </is>
      </c>
      <c r="B26" s="8" t="inlineStr">
        <is>
          <t>Comment utilisez-vous l'IA en interne ?</t>
        </is>
      </c>
      <c r="C26" s="8" t="inlineStr">
        <is>
          <t>Comment utilisez-vous l'IA en interne ?</t>
        </is>
      </c>
      <c r="D26" s="8" t="inlineStr">
        <is>
          <t>Comme un multiplicateur pour nos propres recherches, notre documentation, la memoire de nos projets et le controle qualite.</t>
        </is>
      </c>
      <c r="E26" s="8" t="inlineStr">
        <is>
          <t>Opays</t>
        </is>
      </c>
    </row>
    <row r="27">
      <c r="A27" s="8" t="inlineStr">
        <is>
          <t>Q&amp;A</t>
        </is>
      </c>
      <c r="B27" s="8" t="inlineStr">
        <is>
          <t>Quel est votre fosse defensif (moat) ?</t>
        </is>
      </c>
      <c r="C27" s="8" t="inlineStr">
        <is>
          <t>Quel est votre fosse defensif (moat) ?</t>
        </is>
      </c>
      <c r="D27" s="8" t="inlineStr">
        <is>
          <t>Un systeme d'exploitation clair, des methodes repetees, notre encrage local, et la reutilisation d'actifs de livraison.</t>
        </is>
      </c>
      <c r="E27" s="8" t="inlineStr">
        <is>
          <t>Opays</t>
        </is>
      </c>
    </row>
    <row r="28">
      <c r="A28" s="8" t="inlineStr">
        <is>
          <t>Q&amp;A</t>
        </is>
      </c>
      <c r="B28" s="8" t="inlineStr">
        <is>
          <t>Pourquoi les investisseurs devraient-ils y croire ?</t>
        </is>
      </c>
      <c r="C28" s="8" t="inlineStr">
        <is>
          <t>Pourquoi les investisseurs devraient-ils y croire ?</t>
        </is>
      </c>
      <c r="D28" s="8" t="inlineStr">
        <is>
          <t>Parce que le modele est comprehensible, sobre en capital et evolutif : des services rentables aujourd'hui, de la propriete intellectuelle et des outils demain.</t>
        </is>
      </c>
      <c r="E28" s="8" t="inlineStr">
        <is>
          <t>Opays</t>
        </is>
      </c>
    </row>
    <row r="29">
      <c r="A29" s="8" t="inlineStr">
        <is>
          <t>Q&amp;A</t>
        </is>
      </c>
      <c r="B29" s="8" t="inlineStr">
        <is>
          <t>La TVA est-elle incluse ?</t>
        </is>
      </c>
      <c r="C29" s="8" t="inlineStr">
        <is>
          <t>La TVA est-elle incluse ?</t>
        </is>
      </c>
      <c r="D29" s="8" t="inlineStr">
        <is>
          <t>Le classeur isole la TVA (15%) en pass-through conforme aux exigences de la SARS, sans impact sur le benefice net.</t>
        </is>
      </c>
      <c r="E29" s="8" t="inlineStr">
        <is>
          <t>Opays</t>
        </is>
      </c>
    </row>
    <row r="30">
      <c r="A30" s="8" t="inlineStr">
        <is>
          <t>Q&amp;A</t>
        </is>
      </c>
      <c r="B30" s="8" t="inlineStr">
        <is>
          <t>Pourquoi pas de taxe sur le chiffre d'affaires (turnover tax) ?</t>
        </is>
      </c>
      <c r="C30" s="8" t="inlineStr">
        <is>
          <t>Pourquoi pas de taxe sur le chiffre d'affaires (turnover tax) ?</t>
        </is>
      </c>
      <c r="D30" s="8" t="inlineStr">
        <is>
          <t>Parce que les services professionnels (conseil/ingenierie) en sont generalement exclus des que les recettes depassent les seuils de la SARS.</t>
        </is>
      </c>
      <c r="E30" s="8" t="inlineStr">
        <is>
          <t>Opays</t>
        </is>
      </c>
    </row>
    <row r="31">
      <c r="A31" s="8" t="inlineStr">
        <is>
          <t>Q&amp;A</t>
        </is>
      </c>
      <c r="B31" s="8" t="inlineStr">
        <is>
          <t>Quelle est l'hypothese d'impot ?</t>
        </is>
      </c>
      <c r="C31" s="8" t="inlineStr">
        <is>
          <t>Quelle est l'hypothese d'impot ?</t>
        </is>
      </c>
      <c r="D31" s="8" t="inlineStr">
        <is>
          <t>Nous appliquons de maniere prudente le taux d'impot sur les societes standard de 27% en Afrique du Sud.</t>
        </is>
      </c>
      <c r="E31" s="8" t="inlineStr">
        <is>
          <t>Opays</t>
        </is>
      </c>
    </row>
    <row r="32">
      <c r="A32" s="8" t="inlineStr">
        <is>
          <t>Q&amp;A</t>
        </is>
      </c>
      <c r="B32" s="8" t="inlineStr">
        <is>
          <t>De quel capital avez-vous besoin ?</t>
        </is>
      </c>
      <c r="C32" s="8" t="inlineStr">
        <is>
          <t>De quel capital avez-vous besoin ?</t>
        </is>
      </c>
      <c r="D32" s="8" t="inlineStr">
        <is>
          <t>Le classeur montre a la fois une trajectoire autofinancee et une trajectoire acceleree par levee de fonds. Nous recommandons un seed de 1 200 000 ZAR.</t>
        </is>
      </c>
      <c r="E32" s="8" t="inlineStr">
        <is>
          <t>Opays</t>
        </is>
      </c>
    </row>
    <row r="33">
      <c r="A33" s="8" t="inlineStr">
        <is>
          <t>Q&amp;A</t>
        </is>
      </c>
      <c r="B33" s="8" t="inlineStr">
        <is>
          <t>Quelle sera l'utilisation des fonds ?</t>
        </is>
      </c>
      <c r="C33" s="8" t="inlineStr">
        <is>
          <t>Quelle sera l'utilisation des fonds ?</t>
        </is>
      </c>
      <c r="D33" s="8" t="inlineStr">
        <is>
          <t>Principalement le renforcement commercial, la capacite de livraison, la standardisation et notre reserve de roulement.</t>
        </is>
      </c>
      <c r="E33" s="8" t="inlineStr">
        <is>
          <t>Opays</t>
        </is>
      </c>
    </row>
    <row r="34">
      <c r="A34" s="8" t="inlineStr">
        <is>
          <t>Q&amp;A</t>
        </is>
      </c>
      <c r="B34" s="8" t="inlineStr">
        <is>
          <t>Quel est le plus grand risque ?</t>
        </is>
      </c>
      <c r="C34" s="8" t="inlineStr">
        <is>
          <t>Quel est le plus grand risque ?</t>
        </is>
      </c>
      <c r="D34" s="8" t="inlineStr">
        <is>
          <t>La dependance vis-a-vis du fondateur. Notre remede est la documentation systematique des process et la delegation progressive.</t>
        </is>
      </c>
      <c r="E34" s="8" t="inlineStr">
        <is>
          <t>Opays</t>
        </is>
      </c>
    </row>
    <row r="35">
      <c r="A35" s="8" t="inlineStr">
        <is>
          <t>Q&amp;A</t>
        </is>
      </c>
      <c r="B35" s="8" t="inlineStr">
        <is>
          <t>Qu'est-ce que les clients achetent en premier ?</t>
        </is>
      </c>
      <c r="C35" s="8" t="inlineStr">
        <is>
          <t>Qu'est-ce que les clients achetent en premier ?</t>
        </is>
      </c>
      <c r="D35" s="8" t="inlineStr">
        <is>
          <t>L'audit / diagnostic. C'est l'entree la plus naturelle et notre premiere preuve de valeur.</t>
        </is>
      </c>
      <c r="E35" s="8" t="inlineStr">
        <is>
          <t>Opays</t>
        </is>
      </c>
    </row>
    <row r="36">
      <c r="A36" s="8" t="inlineStr">
        <is>
          <t>Q&amp;A</t>
        </is>
      </c>
      <c r="B36" s="8" t="inlineStr">
        <is>
          <t>Comment gerez-vous les dossiers Sovereign ?</t>
        </is>
      </c>
      <c r="C36" s="8" t="inlineStr">
        <is>
          <t>Comment gerez-vous les dossiers Sovereign ?</t>
        </is>
      </c>
      <c r="D36" s="8" t="inlineStr">
        <is>
          <t>Comme des mandats de recherche et de conseil strategique haut de gamme, et non comme de la sous-traitance standard.</t>
        </is>
      </c>
      <c r="E36" s="8" t="inlineStr">
        <is>
          <t>Opays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7"/>
  <sheetViews>
    <sheetView showGridLines="0" workbookViewId="0">
      <selection activeCell="A1" sqref="A1"/>
    </sheetView>
  </sheetViews>
  <sheetFormatPr baseColWidth="8" defaultRowHeight="15"/>
  <cols>
    <col width="34" customWidth="1" min="1" max="1"/>
    <col width="34" customWidth="1" min="2" max="2"/>
    <col width="72" customWidth="1" min="3" max="3"/>
  </cols>
  <sheetData>
    <row r="1">
      <c r="A1" s="1" t="inlineStr">
        <is>
          <t>Sources de Conformite</t>
        </is>
      </c>
    </row>
    <row r="2">
      <c r="A2" s="2" t="inlineStr">
        <is>
          <t>Sources officielles utilisees pour formuler les hypotheses de taxes et de fiscalite.</t>
        </is>
      </c>
    </row>
    <row r="3"/>
    <row r="4">
      <c r="A4" s="15" t="inlineStr">
        <is>
          <t>Sujet</t>
        </is>
      </c>
      <c r="B4" s="15" t="inlineStr">
        <is>
          <t>Source officielle</t>
        </is>
      </c>
      <c r="C4" s="15" t="inlineStr">
        <is>
          <t>Lien (URL)</t>
        </is>
      </c>
    </row>
    <row r="5">
      <c r="A5" s="5" t="inlineStr">
        <is>
          <t>TVA</t>
        </is>
      </c>
      <c r="B5" s="5" t="inlineStr">
        <is>
          <t>Page officielle de la SARS sur la TVA</t>
        </is>
      </c>
      <c r="C5" s="5" t="inlineStr">
        <is>
          <t>https://www.sars.gov.za/types-of-tax/value-added-tax/</t>
        </is>
      </c>
    </row>
    <row r="6">
      <c r="A6" s="5" t="inlineStr">
        <is>
          <t>Impot sur les societes</t>
        </is>
      </c>
      <c r="B6" s="5" t="inlineStr">
        <is>
          <t>Taux standard d'IS de la SARS</t>
        </is>
      </c>
      <c r="C6" s="5" t="inlineStr">
        <is>
          <t>https://www.sars.gov.za/types-of-tax/corporate-income-tax/</t>
        </is>
      </c>
    </row>
    <row r="7">
      <c r="A7" s="5" t="inlineStr">
        <is>
          <t>Exclusion taxe chiffre d'affaires</t>
        </is>
      </c>
      <c r="B7" s="5" t="inlineStr">
        <is>
          <t>Conditions de la SARS pour les services professionnels</t>
        </is>
      </c>
      <c r="C7" s="8" t="inlineStr">
        <is>
          <t>https://www.sars.gov.za/faq/faq-what-are-the-requirements-for-a-micro-business-to-qualify-for-turnover-tax/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72" customWidth="1" min="1" max="1"/>
    <col width="48" customWidth="1" min="4" max="4"/>
  </cols>
  <sheetData>
    <row r="1">
      <c r="A1" s="1" t="inlineStr">
        <is>
          <t>Systeme d'Exploitation</t>
        </is>
      </c>
    </row>
    <row r="2">
      <c r="A2" s="2" t="inlineStr">
        <is>
          <t>C'est l'execution et le delivery standardise qui creent la valeur du cabinet, pas seulement les idees.</t>
        </is>
      </c>
    </row>
    <row r="3"/>
    <row r="4">
      <c r="A4" s="14" t="inlineStr">
        <is>
          <t>Principes d'operation</t>
        </is>
      </c>
      <c r="D4" s="5" t="inlineStr">
        <is>
          <t>Facteur clé de succes</t>
        </is>
      </c>
    </row>
    <row r="5">
      <c r="A5" s="8" t="inlineStr">
        <is>
          <t>• Une seule source de verite pour la strategie, la livraison et les decisions.</t>
        </is>
      </c>
      <c r="D5" s="8" t="inlineStr">
        <is>
          <t>L'entreprise est rentable quand le message, le processus, le prix et le rythme de livraison pointent tous dans la meme direction.</t>
        </is>
      </c>
    </row>
    <row r="6">
      <c r="A6" s="8" t="inlineStr">
        <is>
          <t>• Des ajustements petits et tracables plutot que de grandes improvisations.</t>
        </is>
      </c>
      <c r="D6" s="8" t="inlineStr">
        <is>
          <t>Les investisseurs s'assurent que le cabinet peut livrer de la valeur sans reposer uniquement sur un effort heroique du fondateur.</t>
        </is>
      </c>
    </row>
    <row r="7">
      <c r="A7" s="8" t="inlineStr">
        <is>
          <t>• Chaque mission client a un debut, une livraison et une sortie definis.</t>
        </is>
      </c>
      <c r="D7" s="8" t="inlineStr">
        <is>
          <t>Le but n'est pas la complexite technique, mais l'assurance d'une execution previsible.</t>
        </is>
      </c>
    </row>
    <row r="8">
      <c r="A8" s="8" t="inlineStr">
        <is>
          <t>• Le fondateur se concentre sur les ventes et la qualite, pas sur les taches repetitives.</t>
        </is>
      </c>
    </row>
    <row r="9"/>
    <row r="10">
      <c r="A10" s="14" t="inlineStr">
        <is>
          <t>Core roles</t>
        </is>
      </c>
    </row>
    <row r="11">
      <c r="A11" s="8" t="inlineStr">
        <is>
          <t>• CEO / Fondateur : ventes, narratif, design strategique, validation finale de qualite.</t>
        </is>
      </c>
    </row>
    <row r="12">
      <c r="A12" s="8" t="inlineStr">
        <is>
          <t>• Responsable de la Livraison : coordination des projets, respect des delais, relation client.</t>
        </is>
      </c>
    </row>
    <row r="13">
      <c r="A13" s="8" t="inlineStr">
        <is>
          <t>• Recherche &amp; R&amp;D : travaux scientifiques, documents, analyses et synthesis.</t>
        </is>
      </c>
    </row>
    <row r="14">
      <c r="A14" s="8" t="inlineStr">
        <is>
          <t>• Operations &amp; Admin : planification, facturation, suivi administratif et hygiene documentaire.</t>
        </is>
      </c>
    </row>
    <row r="15"/>
    <row r="16">
      <c r="A16" s="14" t="inlineStr">
        <is>
          <t>Regles de decision</t>
        </is>
      </c>
    </row>
    <row r="17">
      <c r="A17" s="8" t="inlineStr">
        <is>
          <t>• Si cela ne cree pas de valeur ou ne reduit pas la friction, ce n'est pas prioritaire.</t>
        </is>
      </c>
    </row>
    <row r="18">
      <c r="A18" s="8" t="inlineStr">
        <is>
          <t>• Si le perimetre (scope) change, faire un avenant ou reporter.</t>
        </is>
      </c>
    </row>
    <row r="19">
      <c r="A19" s="8" t="inlineStr">
        <is>
          <t>• Si la livraison menace la marge, refondre l'offre commerciale.</t>
        </is>
      </c>
    </row>
    <row r="20">
      <c r="A20" s="8" t="inlineStr">
        <is>
          <t>• Si un processus se repete 3 fois, il doit etre standardise.</t>
        </is>
      </c>
    </row>
    <row r="21"/>
    <row r="22">
      <c r="A22" s="14" t="inlineStr">
        <is>
          <t>Cadence d'execution</t>
        </is>
      </c>
    </row>
    <row r="23">
      <c r="A23" s="8" t="inlineStr">
        <is>
          <t>• Quotidien : revue des opportunites, bloc de livraison, bloc de suivi.</t>
        </is>
      </c>
    </row>
    <row r="24">
      <c r="A24" s="8" t="inlineStr">
        <is>
          <t>• Hebdomadaire : revue du pipeline, revue de livraison, revue de tresorerie, retour d'experience.</t>
        </is>
      </c>
    </row>
    <row r="25">
      <c r="A25" s="8" t="inlineStr">
        <is>
          <t>• Mensuel : revue des indicateurs (KPIs), revue des prix, revue de capacite, mise a jour du journal de decisions.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showGridLines="0" workbookViewId="0">
      <selection activeCell="A1" sqref="A1"/>
    </sheetView>
  </sheetViews>
  <sheetFormatPr baseColWidth="8" defaultRowHeight="15"/>
  <cols>
    <col width="26" customWidth="1" min="1" max="1"/>
    <col width="16" customWidth="1" min="2" max="2"/>
    <col width="18" customWidth="1" min="3" max="3"/>
    <col width="14" customWidth="1" min="4" max="4"/>
    <col width="12" customWidth="1" min="5" max="5"/>
    <col width="22" customWidth="1" min="6" max="6"/>
    <col width="16" customWidth="1" min="7" max="7"/>
  </cols>
  <sheetData>
    <row r="1">
      <c r="A1" s="1" t="inlineStr">
        <is>
          <t>Capacite de l'Equipe</t>
        </is>
      </c>
    </row>
    <row r="2">
      <c r="A2" s="2" t="inlineStr">
        <is>
          <t>Logique de debits. Ce modele garde l'entreprise honnete sur ce qu'elle est en mesure de livrer physiquement.</t>
        </is>
      </c>
    </row>
    <row r="3"/>
    <row r="4">
      <c r="A4" s="15" t="inlineStr">
        <is>
          <t>Service</t>
        </is>
      </c>
      <c r="B4" s="15" t="inlineStr">
        <is>
          <t>Heures Fondateur</t>
        </is>
      </c>
      <c r="C4" s="15" t="inlineStr">
        <is>
          <t>Heures Expert</t>
        </is>
      </c>
      <c r="D4" s="15" t="inlineStr">
        <is>
          <t>Heures Ops</t>
        </is>
      </c>
      <c r="E4" s="15" t="inlineStr">
        <is>
          <t>Total Heures</t>
        </is>
      </c>
      <c r="F4" s="15" t="inlineStr">
        <is>
          <t>Heures disponibles / mois</t>
        </is>
      </c>
      <c r="G4" s="15" t="inlineStr">
        <is>
          <t>Unites max / mois</t>
        </is>
      </c>
    </row>
    <row r="5">
      <c r="A5" t="inlineStr">
        <is>
          <t>Audit / Diagnostic</t>
        </is>
      </c>
      <c r="B5" s="7" t="n">
        <v>12</v>
      </c>
      <c r="C5" s="7" t="n">
        <v>4</v>
      </c>
      <c r="D5" s="7" t="n">
        <v>4</v>
      </c>
      <c r="E5" s="7" t="n">
        <v>20</v>
      </c>
      <c r="F5" s="7" t="n">
        <v>80</v>
      </c>
      <c r="G5" s="6">
        <f>F5/E5</f>
        <v/>
      </c>
    </row>
    <row r="6">
      <c r="A6" t="inlineStr">
        <is>
          <t>Sprint d'Efficience</t>
        </is>
      </c>
      <c r="B6" s="7" t="n">
        <v>24</v>
      </c>
      <c r="C6" s="7" t="n">
        <v>12</v>
      </c>
      <c r="D6" s="7" t="n">
        <v>8</v>
      </c>
      <c r="E6" s="7" t="n">
        <v>44</v>
      </c>
      <c r="F6" s="7" t="n">
        <v>100</v>
      </c>
      <c r="G6" s="6">
        <f>F6/E6</f>
        <v/>
      </c>
    </row>
    <row r="7">
      <c r="A7" t="inlineStr">
        <is>
          <t>Projet d'Implementation</t>
        </is>
      </c>
      <c r="B7" s="7" t="n">
        <v>60</v>
      </c>
      <c r="C7" s="7" t="n">
        <v>30</v>
      </c>
      <c r="D7" s="7" t="n">
        <v>15</v>
      </c>
      <c r="E7" s="7" t="n">
        <v>105</v>
      </c>
      <c r="F7" s="7" t="n">
        <v>160</v>
      </c>
      <c r="G7" s="6">
        <f>F7/E7</f>
        <v/>
      </c>
    </row>
    <row r="8">
      <c r="A8" t="inlineStr">
        <is>
          <t>Forge Retainer (Accompagnement)</t>
        </is>
      </c>
      <c r="B8" s="7" t="n">
        <v>6</v>
      </c>
      <c r="C8" s="7" t="n">
        <v>3</v>
      </c>
      <c r="D8" s="7" t="n">
        <v>3</v>
      </c>
      <c r="E8" s="7" t="n">
        <v>12</v>
      </c>
      <c r="F8" s="7" t="n">
        <v>90</v>
      </c>
      <c r="G8" s="6">
        <f>F8/E8</f>
        <v/>
      </c>
    </row>
    <row r="9">
      <c r="A9" t="inlineStr">
        <is>
          <t>Dossier Sovereign</t>
        </is>
      </c>
      <c r="B9" s="7" t="n">
        <v>30</v>
      </c>
      <c r="C9" s="7" t="n">
        <v>20</v>
      </c>
      <c r="D9" s="7" t="n">
        <v>10</v>
      </c>
      <c r="E9" s="7" t="n">
        <v>60</v>
      </c>
      <c r="F9" s="7" t="n">
        <v>70</v>
      </c>
      <c r="G9" s="6">
        <f>F9/E9</f>
        <v/>
      </c>
    </row>
    <row r="10"/>
    <row r="11"/>
    <row r="12">
      <c r="A12" t="inlineStr">
        <is>
          <t>Interpretation</t>
        </is>
      </c>
      <c r="B12" s="8" t="inlineStr">
        <is>
          <t>Les plafonds de capacite sont volontairement conservateurs ; ils empechent le modele de revenus de presumer d'une bande passante de livraison infinie.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24" customWidth="1" min="1" max="1"/>
    <col width="18" customWidth="1" min="2" max="2"/>
    <col width="28" customWidth="1" min="3" max="3"/>
    <col width="28" customWidth="1" min="4" max="4"/>
    <col width="30" customWidth="1" min="5" max="5"/>
    <col width="18" customWidth="1" min="6" max="6"/>
  </cols>
  <sheetData>
    <row r="1">
      <c r="A1" s="1" t="inlineStr">
        <is>
          <t>Parcours client (Delivery)</t>
        </is>
      </c>
    </row>
    <row r="2">
      <c r="A2" s="2" t="inlineStr">
        <is>
          <t>La qualite de livraison de nos services fait notre reputation. Ce playbook structure chaque phase.</t>
        </is>
      </c>
    </row>
    <row r="3"/>
    <row r="4">
      <c r="A4" s="15" t="inlineStr">
        <is>
          <t>Etape</t>
        </is>
      </c>
      <c r="B4" s="15" t="inlineStr">
        <is>
          <t>Responsable</t>
        </is>
      </c>
      <c r="C4" s="15" t="inlineStr">
        <is>
          <t>Criteres d'entree</t>
        </is>
      </c>
      <c r="D4" s="15" t="inlineStr">
        <is>
          <t>Criteres de sortie</t>
        </is>
      </c>
      <c r="E4" s="15" t="inlineStr">
        <is>
          <t>Livrable</t>
        </is>
      </c>
      <c r="F4" s="15" t="inlineStr">
        <is>
          <t>Duree standard</t>
        </is>
      </c>
    </row>
    <row r="5">
      <c r="A5" s="8" t="inlineStr">
        <is>
          <t>Opportunite recue</t>
        </is>
      </c>
      <c r="B5" s="8" t="inlineStr">
        <is>
          <t>Fondateur</t>
        </is>
      </c>
      <c r="C5" s="8" t="inlineStr">
        <is>
          <t>Entrant, recommandation ou reponse a la prospection</t>
        </is>
      </c>
      <c r="D5" s="8" t="inlineStr">
        <is>
          <t>Qualifie ou disqualifie</t>
        </is>
      </c>
      <c r="E5" s="8" t="inlineStr">
        <is>
          <t>Opportunite enregistree dans le CRM</t>
        </is>
      </c>
      <c r="F5" s="8" t="inlineStr">
        <is>
          <t>1 jour</t>
        </is>
      </c>
    </row>
    <row r="6">
      <c r="A6" s="8" t="inlineStr">
        <is>
          <t>Appel de decouverte</t>
        </is>
      </c>
      <c r="B6" s="8" t="inlineStr">
        <is>
          <t>Fondateur</t>
        </is>
      </c>
      <c r="C6" s="8" t="inlineStr">
        <is>
          <t>Besoin reel et budget existant</t>
        </is>
      </c>
      <c r="D6" s="8" t="inlineStr">
        <is>
          <t>Probleme et objectifs compris</t>
        </is>
      </c>
      <c r="E6" s="8" t="inlineStr">
        <is>
          <t>Notes d'appel + prochaine action</t>
        </is>
      </c>
      <c r="F6" s="8" t="inlineStr">
        <is>
          <t>30-45 min</t>
        </is>
      </c>
    </row>
    <row r="7">
      <c r="A7" s="8" t="inlineStr">
        <is>
          <t>Audit / Diagnostic</t>
        </is>
      </c>
      <c r="B7" s="8" t="inlineStr">
        <is>
          <t>Fondateur + R&amp;D</t>
        </is>
      </c>
      <c r="C7" s="8" t="inlineStr">
        <is>
          <t>Le client accepte l'offre d'entree</t>
        </is>
      </c>
      <c r="D7" s="8" t="inlineStr">
        <is>
          <t>Cartographie de friction et hypothese de ROI pretes</t>
        </is>
      </c>
      <c r="E7" s="8" t="inlineStr">
        <is>
          <t>Note d'audit et de synthese</t>
        </is>
      </c>
      <c r="F7" s="8" t="inlineStr">
        <is>
          <t>3-10 jours</t>
        </is>
      </c>
    </row>
    <row r="8">
      <c r="A8" s="8" t="inlineStr">
        <is>
          <t>Proposition / Contrat</t>
        </is>
      </c>
      <c r="B8" s="8" t="inlineStr">
        <is>
          <t>Fondateur</t>
        </is>
      </c>
      <c r="C8" s="8" t="inlineStr">
        <is>
          <t>Diagnostic complete</t>
        </is>
      </c>
      <c r="D8" s="8" t="inlineStr">
        <is>
          <t>Perimetre, tarif et planning valides</t>
        </is>
      </c>
      <c r="E8" s="8" t="inlineStr">
        <is>
          <t>Proposition commerciale + contrat signe</t>
        </is>
      </c>
      <c r="F8" s="8" t="inlineStr">
        <is>
          <t>1-3 jours</t>
        </is>
      </c>
    </row>
    <row r="9">
      <c r="A9" s="8" t="inlineStr">
        <is>
          <t>Sprint de livraison</t>
        </is>
      </c>
      <c r="B9" s="8" t="inlineStr">
        <is>
          <t>Responsable Livraison</t>
        </is>
      </c>
      <c r="C9" s="8" t="inlineStr">
        <is>
          <t>Contrat signe et acompte verse</t>
        </is>
      </c>
      <c r="D9" s="8" t="inlineStr">
        <is>
          <t>Flux de travail ou systeme cible ameliore</t>
        </is>
      </c>
      <c r="E9" s="8" t="inlineStr">
        <is>
          <t>Dossier d'implementation standard</t>
        </is>
      </c>
      <c r="F9" s="8" t="inlineStr">
        <is>
          <t>2-6 semaines</t>
        </is>
      </c>
    </row>
    <row r="10">
      <c r="A10" s="8" t="inlineStr">
        <is>
          <t>Transfert final</t>
        </is>
      </c>
      <c r="B10" s="8" t="inlineStr">
        <is>
          <t>Fondateur + Ops</t>
        </is>
      </c>
      <c r="C10" s="8" t="inlineStr">
        <is>
          <t>Criteres d'acceptation valides</t>
        </is>
      </c>
      <c r="D10" s="8" t="inlineStr">
        <is>
          <t>Le client sait utiliser le nouveau processus</t>
        </is>
      </c>
      <c r="E10" s="8" t="inlineStr">
        <is>
          <t>Note de transfert + procedure standard</t>
        </is>
      </c>
      <c r="F10" s="8" t="inlineStr">
        <is>
          <t>1-2 jours</t>
        </is>
      </c>
    </row>
    <row r="11">
      <c r="A11" s="8" t="inlineStr">
        <is>
          <t>Abonnement (Retainer)</t>
        </is>
      </c>
      <c r="B11" s="8" t="inlineStr">
        <is>
          <t>Fondateur</t>
        </is>
      </c>
      <c r="C11" s="8" t="inlineStr">
        <is>
          <t>Valeur pouvee et confirmee</t>
        </is>
      </c>
      <c r="D11" s="8" t="inlineStr">
        <is>
          <t>Accord d'optimisation recurrente signe</t>
        </is>
      </c>
      <c r="E11" s="8" t="inlineStr">
        <is>
          <t>Point mensuel de suivi operationnel</t>
        </is>
      </c>
      <c r="F11" s="8" t="inlineStr">
        <is>
          <t>Continu</t>
        </is>
      </c>
    </row>
    <row r="12"/>
    <row r="13"/>
    <row r="14">
      <c r="A14" t="inlineStr">
        <is>
          <t>Regle d'or</t>
        </is>
      </c>
      <c r="B14" s="8" t="inlineStr">
        <is>
          <t>Definir les criteres de reussite en amont du projet. Ne jamais declarer un projet termine avant que le client n'ait valide la prise en main de l'outil.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14" customWidth="1" min="1" max="1"/>
    <col width="22" customWidth="1" min="2" max="2"/>
    <col width="44" customWidth="1" min="3" max="3"/>
    <col width="26" customWidth="1" min="4" max="4"/>
  </cols>
  <sheetData>
    <row r="1">
      <c r="A1" s="1" t="inlineStr">
        <is>
          <t>Rhythme Hebdomadaire</t>
        </is>
      </c>
    </row>
    <row r="2">
      <c r="A2" s="2" t="inlineStr">
        <is>
          <t>Un rythme d'execution standardise pour transformer la vision en routine.</t>
        </is>
      </c>
    </row>
    <row r="3"/>
    <row r="4">
      <c r="A4" s="15" t="inlineStr">
        <is>
          <t>Jour</t>
        </is>
      </c>
      <c r="B4" s="15" t="inlineStr">
        <is>
          <t>Focus</t>
        </is>
      </c>
      <c r="C4" s="15" t="inlineStr">
        <is>
          <t>Actions cles</t>
        </is>
      </c>
      <c r="D4" s="15" t="inlineStr">
        <is>
          <t>Livrable</t>
        </is>
      </c>
    </row>
    <row r="5">
      <c r="A5" s="5" t="inlineStr">
        <is>
          <t>Lundi</t>
        </is>
      </c>
      <c r="B5" s="5" t="inlineStr">
        <is>
          <t>Pipeline et priorites</t>
        </is>
      </c>
      <c r="C5" s="8" t="inlineStr">
        <is>
          <t>Revue des opportunites, planification client, definition des 3 objectifs de la semaine</t>
        </is>
      </c>
      <c r="D5" s="5" t="inlineStr">
        <is>
          <t>Plan d'action clair et responsabilites attribuees</t>
        </is>
      </c>
    </row>
    <row r="6">
      <c r="A6" s="5" t="inlineStr">
        <is>
          <t>Mardi</t>
        </is>
      </c>
      <c r="B6" s="5" t="inlineStr">
        <is>
          <t>Livraison / Production</t>
        </is>
      </c>
      <c r="C6" s="8" t="inlineStr">
        <is>
          <t>Concentration sur les livrables clients et les modeles internes</t>
        </is>
      </c>
      <c r="D6" s="5" t="inlineStr">
        <is>
          <t>Produits livrables et shippable</t>
        </is>
      </c>
    </row>
    <row r="7">
      <c r="A7" s="5" t="inlineStr">
        <is>
          <t>Mercredi</t>
        </is>
      </c>
      <c r="B7" s="5" t="inlineStr">
        <is>
          <t>Ventes &amp; Visibilite</t>
        </is>
      </c>
      <c r="C7" s="5" t="inlineStr">
        <is>
          <t>Demarchage, LinkedIn, presse locale, relations publiques</t>
        </is>
      </c>
      <c r="D7" s="5" t="inlineStr">
        <is>
          <t>Activites de prospection</t>
        </is>
      </c>
    </row>
    <row r="8">
      <c r="A8" s="5" t="inlineStr">
        <is>
          <t>Jeudi</t>
        </is>
      </c>
      <c r="B8" s="5" t="inlineStr">
        <is>
          <t>Livraison &amp; Echanges client</t>
        </is>
      </c>
      <c r="C8" s="8" t="inlineStr">
        <is>
          <t>Points d'avancement avec les clients, suivi, QA et validations</t>
        </is>
      </c>
      <c r="D8" s="5" t="inlineStr">
        <is>
          <t>Confiance et dynamique client</t>
        </is>
      </c>
    </row>
    <row r="9">
      <c r="A9" s="5" t="inlineStr">
        <is>
          <t>Vendredi</t>
        </is>
      </c>
      <c r="B9" s="5" t="inlineStr">
        <is>
          <t>Finance, Apprentissage &amp; Admin</t>
        </is>
      </c>
      <c r="C9" s="8" t="inlineStr">
        <is>
          <t>Revue de tresorerie, facturation, journal des decisions, retour d'experience</t>
        </is>
      </c>
      <c r="D9" s="5" t="inlineStr">
        <is>
          <t>Cloture propre et preparation de la semaine suivante</t>
        </is>
      </c>
    </row>
    <row r="10"/>
    <row r="11"/>
    <row r="12">
      <c r="A12" t="inlineStr">
        <is>
          <t>Regle d'or</t>
        </is>
      </c>
      <c r="B12" s="8" t="inlineStr">
        <is>
          <t>Si la semaine ne produit pas d'avancement sur le pipeline, sur la livraison ou sur la tresorerie, le rythme n'est pas bon.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RowHeight="15"/>
  <cols>
    <col width="24" customWidth="1" min="1" max="1"/>
    <col width="26" customWidth="1" min="2" max="2"/>
    <col width="22" customWidth="1" min="3" max="3"/>
    <col width="16" customWidth="1" min="4" max="4"/>
    <col width="34" customWidth="1" min="5" max="5"/>
  </cols>
  <sheetData>
    <row r="1">
      <c r="A1" s="1" t="inlineStr">
        <is>
          <t>Procedures standards (SOPs)</t>
        </is>
      </c>
    </row>
    <row r="2">
      <c r="A2" s="2" t="inlineStr">
        <is>
          <t>Les SOPs garantissent la repetabilite et la valeur a terme du cabinet.</t>
        </is>
      </c>
    </row>
    <row r="3"/>
    <row r="4">
      <c r="A4" s="15" t="inlineStr">
        <is>
          <t>Procedure (SOP)</t>
        </is>
      </c>
      <c r="B4" s="15" t="inlineStr">
        <is>
          <t>Objectif</t>
        </is>
      </c>
      <c r="C4" s="15" t="inlineStr">
        <is>
          <t>Declencheur</t>
        </is>
      </c>
      <c r="D4" s="15" t="inlineStr">
        <is>
          <t>Responsable</t>
        </is>
      </c>
      <c r="E4" s="15" t="inlineStr">
        <is>
          <t>Resultat attendu</t>
        </is>
      </c>
    </row>
    <row r="5">
      <c r="A5" s="5" t="inlineStr">
        <is>
          <t>Qualification des leads</t>
        </is>
      </c>
      <c r="B5" s="5" t="inlineStr">
        <is>
          <t>Filtrer les opportunites viables</t>
        </is>
      </c>
      <c r="C5" s="5" t="inlineStr">
        <is>
          <t>Nouveau contact ou recommandation</t>
        </is>
      </c>
      <c r="D5" s="5" t="inlineStr">
        <is>
          <t>Fondateur</t>
        </is>
      </c>
      <c r="E5" s="5" t="inlineStr">
        <is>
          <t>Pipeline qualifie ou disqualification propre</t>
        </is>
      </c>
    </row>
    <row r="6">
      <c r="A6" s="5" t="inlineStr">
        <is>
          <t>Appel de decouverte</t>
        </is>
      </c>
      <c r="B6" s="5" t="inlineStr">
        <is>
          <t>Comprendre le probleme reel</t>
        </is>
      </c>
      <c r="C6" s="5" t="inlineStr">
        <is>
          <t>Apres la qualification</t>
        </is>
      </c>
      <c r="D6" s="5" t="inlineStr">
        <is>
          <t>Fondateur</t>
        </is>
      </c>
      <c r="E6" s="5" t="inlineStr">
        <is>
          <t>Probleme defini et alignement de fit</t>
        </is>
      </c>
    </row>
    <row r="7">
      <c r="A7" s="5" t="inlineStr">
        <is>
          <t>Checklist d'audit</t>
        </is>
      </c>
      <c r="B7" s="5" t="inlineStr">
        <is>
          <t>Standardiser nos diagnostics</t>
        </is>
      </c>
      <c r="C7" s="5" t="inlineStr">
        <is>
          <t>Le client achete un diagnostic</t>
        </is>
      </c>
      <c r="D7" s="5" t="inlineStr">
        <is>
          <t>Fondateur + R&amp;D</t>
        </is>
      </c>
      <c r="E7" s="5" t="inlineStr">
        <is>
          <t>Note d'audit standardisee</t>
        </is>
      </c>
    </row>
    <row r="8">
      <c r="A8" s="5" t="inlineStr">
        <is>
          <t>Modele de proposition</t>
        </is>
      </c>
      <c r="B8" s="5" t="inlineStr">
        <is>
          <t>Accelerer le suivi commercial</t>
        </is>
      </c>
      <c r="C8" s="5" t="inlineStr">
        <is>
          <t>Audit complete</t>
        </is>
      </c>
      <c r="D8" s="5" t="inlineStr">
        <is>
          <t>Fondateur</t>
        </is>
      </c>
      <c r="E8" s="5" t="inlineStr">
        <is>
          <t>Offre commerciale claire</t>
        </is>
      </c>
    </row>
    <row r="9">
      <c r="A9" s="5" t="inlineStr">
        <is>
          <t>Controle du perimetre</t>
        </is>
      </c>
      <c r="B9" s="5" t="inlineStr">
        <is>
          <t>Proteger notre marge brute</t>
        </is>
      </c>
      <c r="C9" s="5" t="inlineStr">
        <is>
          <t>Toute demande de changement de perimetre</t>
        </is>
      </c>
      <c r="D9" s="5" t="inlineStr">
        <is>
          <t>Fondateur</t>
        </is>
      </c>
      <c r="E9" s="5" t="inlineStr">
        <is>
          <t>Avenant signe ou gel du perimetre</t>
        </is>
      </c>
    </row>
    <row r="10">
      <c r="A10" s="5" t="inlineStr">
        <is>
          <t>Revue qualite (QA)</t>
        </is>
      </c>
      <c r="B10" s="5" t="inlineStr">
        <is>
          <t>Eviter les erreurs de livraison</t>
        </is>
      </c>
      <c r="C10" s="5" t="inlineStr">
        <is>
          <t>Avant le transfert final</t>
        </is>
      </c>
      <c r="D10" s="5" t="inlineStr">
        <is>
          <t>Responsable Livraison</t>
        </is>
      </c>
      <c r="E10" s="5" t="inlineStr">
        <is>
          <t>Livrable verifie et certifie</t>
        </is>
      </c>
    </row>
    <row r="11">
      <c r="A11" s="5" t="inlineStr">
        <is>
          <t>Revue de tresorerie</t>
        </is>
      </c>
      <c r="B11" s="5" t="inlineStr">
        <is>
          <t>Proteger notre runway</t>
        </is>
      </c>
      <c r="C11" s="5" t="inlineStr">
        <is>
          <t>Chaque vendredi</t>
        </is>
      </c>
      <c r="D11" s="5" t="inlineStr">
        <is>
          <t>Fondateur + Ops</t>
        </is>
      </c>
      <c r="E11" s="5" t="inlineStr">
        <is>
          <t>Situation de tresorerie a jour et actions</t>
        </is>
      </c>
    </row>
    <row r="12">
      <c r="A12" s="5" t="inlineStr">
        <is>
          <t>Journal de decisions</t>
        </is>
      </c>
      <c r="B12" s="5" t="inlineStr">
        <is>
          <t>Maintenir une gouvernance vivante</t>
        </is>
      </c>
      <c r="C12" s="5" t="inlineStr">
        <is>
          <t>Toute decision strategique</t>
        </is>
      </c>
      <c r="D12" s="5" t="inlineStr">
        <is>
          <t>Fondateur</t>
        </is>
      </c>
      <c r="E12" s="5" t="inlineStr">
        <is>
          <t>Decision consignee et datee</t>
        </is>
      </c>
    </row>
    <row r="13"/>
    <row r="14"/>
    <row r="15">
      <c r="A15" t="inlineStr">
        <is>
          <t>Regle d'or</t>
        </is>
      </c>
      <c r="B15" s="8" t="inlineStr">
        <is>
          <t>Si une action complexe est executee plus d'une fois, elle doit etre documentee par une SOP.</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0" customWidth="1" min="1" max="1"/>
    <col width="34" customWidth="1" min="2" max="2"/>
    <col width="18" customWidth="1" min="3" max="3"/>
    <col width="16" customWidth="1" min="4" max="4"/>
    <col width="34" customWidth="1" min="5" max="5"/>
    <col width="34" customWidth="1" min="6" max="6"/>
  </cols>
  <sheetData>
    <row r="1">
      <c r="A1" s="1" t="inlineStr">
        <is>
          <t>Modele d'Equipe</t>
        </is>
      </c>
    </row>
    <row r="2">
      <c r="A2" s="2" t="inlineStr">
        <is>
          <t>L'entreprise doit etre visible et quantifiable comme un collectif et non seulement par son fondateur.</t>
        </is>
      </c>
    </row>
    <row r="3"/>
    <row r="4">
      <c r="A4" s="15" t="inlineStr">
        <is>
          <t>Role</t>
        </is>
      </c>
      <c r="B4" s="15" t="inlineStr">
        <is>
          <t>Responsabilite principale</t>
        </is>
      </c>
      <c r="C4" s="15" t="inlineStr">
        <is>
          <t>Statut</t>
        </is>
      </c>
      <c r="D4" s="15" t="inlineStr">
        <is>
          <t>Capacite (heures/mois)</t>
        </is>
      </c>
      <c r="E4" s="15" t="inlineStr">
        <is>
          <t>Repartition hebdomadaire</t>
        </is>
      </c>
      <c r="F4" s="15" t="inlineStr">
        <is>
          <t>Declencheur de recrutement</t>
        </is>
      </c>
    </row>
    <row r="5">
      <c r="A5" s="8" t="inlineStr">
        <is>
          <t>Fénelon Lamsasiri — CEO / R&amp;D</t>
        </is>
      </c>
      <c r="B5" s="8" t="inlineStr">
        <is>
          <t>Vision, gouvernance, strategie, validation qualite, recherche</t>
        </is>
      </c>
      <c r="C5" s="8" t="inlineStr">
        <is>
          <t>Actif</t>
        </is>
      </c>
      <c r="D5" s="8" t="n">
        <v>80</v>
      </c>
      <c r="E5" s="8" t="inlineStr">
        <is>
          <t>Strategie 30%, livraison 25%, management 25%, contenu 20%</t>
        </is>
      </c>
      <c r="F5" s="8" t="inlineStr">
        <is>
          <t>Lorsque la strategie ou la qualite depasse 80h/mois</t>
        </is>
      </c>
    </row>
    <row r="6">
      <c r="A6" s="8" t="inlineStr">
        <is>
          <t>Prince Bagheni — Directeur Commercial</t>
        </is>
      </c>
      <c r="B6" s="8" t="inlineStr">
        <is>
          <t>Prospection, closing, relations partenaires, rigueur du pipeline</t>
        </is>
      </c>
      <c r="C6" s="8" t="inlineStr">
        <is>
          <t>Actif</t>
        </is>
      </c>
      <c r="D6" s="8" t="n">
        <v>70</v>
      </c>
      <c r="E6" s="8" t="inlineStr">
        <is>
          <t>Prospection 45%, suivi 30%, closing 15%, reporting 10%</t>
        </is>
      </c>
      <c r="F6" s="8" t="inlineStr">
        <is>
          <t>Lorsque le volume d'opportunites requiert un commercial dedie</t>
        </is>
      </c>
    </row>
    <row r="7">
      <c r="A7" s="8" t="inlineStr">
        <is>
          <t>Patricia Zamwana — Admin &amp; Gestion</t>
        </is>
      </c>
      <c r="B7" s="8" t="inlineStr">
        <is>
          <t>Support prospection, suivi comptable, tresorerie, soutien administratif</t>
        </is>
      </c>
      <c r="C7" s="8" t="inlineStr">
        <is>
          <t>Actif</t>
        </is>
      </c>
      <c r="D7" s="8" t="n">
        <v>60</v>
      </c>
      <c r="E7" s="8" t="inlineStr">
        <is>
          <t>Finance 40%, admin 30%, support ventes 30%</t>
        </is>
      </c>
      <c r="F7" s="8" t="inlineStr">
        <is>
          <t>Lorsque la facturation ou le suivi de tresorerie requiert un temps plein</t>
        </is>
      </c>
    </row>
    <row r="8">
      <c r="A8" s="8" t="inlineStr">
        <is>
          <t>Zaina Bwale Godlove — Marque &amp; Ventes</t>
        </is>
      </c>
      <c r="B8" s="8" t="inlineStr">
        <is>
          <t>Prospection, communication, visibilite, supports institutionnels</t>
        </is>
      </c>
      <c r="C8" s="8" t="inlineStr">
        <is>
          <t>Actif</t>
        </is>
      </c>
      <c r="D8" s="8" t="n">
        <v>60</v>
      </c>
      <c r="E8" s="8" t="inlineStr">
        <is>
          <t>Comms 40%, prospection 30%, marque 20%, support 10%</t>
        </is>
      </c>
      <c r="F8" s="8" t="inlineStr">
        <is>
          <t>Lorsque l'effort de communication ou de visibilite augmente</t>
        </is>
      </c>
    </row>
    <row r="9">
      <c r="A9" s="8" t="inlineStr">
        <is>
          <t>Directeur Technique / CTO</t>
        </is>
      </c>
      <c r="B9" s="8" t="inlineStr">
        <is>
          <t>Architecture, securite, qualite technique, supervision livraison</t>
        </is>
      </c>
      <c r="C9" s="8" t="inlineStr">
        <is>
          <t>Vacant / En recrutement</t>
        </is>
      </c>
      <c r="D9" s="8" t="n">
        <v>0</v>
      </c>
      <c r="E9" s="8" t="inlineStr">
        <is>
          <t>N/A</t>
        </is>
      </c>
      <c r="F9" s="8" t="inlineStr">
        <is>
          <t>Lorsque la livraison technique requiert un responsable dedie</t>
        </is>
      </c>
    </row>
    <row r="10">
      <c r="A10" s="8" t="inlineStr">
        <is>
          <t>Antigravity — IA Collaboratrice</t>
        </is>
      </c>
      <c r="B10" s="8" t="inlineStr">
        <is>
          <t>Redaction, structuration, support automatisation, aide operationnelle</t>
        </is>
      </c>
      <c r="C10" s="8" t="inlineStr">
        <is>
          <t>Actif (actif de type systeme)</t>
        </is>
      </c>
      <c r="D10" s="8" t="n">
        <v>40</v>
      </c>
      <c r="E10" s="8" t="inlineStr">
        <is>
          <t>Documents 30%, automatisation 30%, support 40%</t>
        </is>
      </c>
      <c r="F10" s="8" t="inlineStr">
        <is>
          <t>Lorsque les taches administratives ou repetitives saturent l'equipe</t>
        </is>
      </c>
    </row>
    <row r="11"/>
    <row r="12">
      <c r="A12" t="inlineStr">
        <is>
          <t>Regle d'equipe</t>
        </is>
      </c>
      <c r="B12" s="8" t="inlineStr">
        <is>
          <t>L'entreprise grandit en capitalisant sur ses process avant d'ajouter de la masse salariale. Chaque recrutement doit soit securiser la marge, soit augmenter le debit de livraison, soit securiser le temps du fondateur.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26" customWidth="1" min="1" max="1"/>
    <col width="16" customWidth="1" min="2" max="2"/>
    <col width="12" customWidth="1" min="3" max="3"/>
    <col width="14" customWidth="1" min="4" max="4"/>
    <col width="12" customWidth="1" min="5" max="5"/>
    <col width="12" customWidth="1" min="6" max="6"/>
    <col width="16" customWidth="1" min="7" max="7"/>
    <col width="22" customWidth="1" min="8" max="8"/>
  </cols>
  <sheetData>
    <row r="1">
      <c r="A1" s="1" t="inlineStr">
        <is>
          <t>Modélisation du Pipeline</t>
        </is>
      </c>
    </row>
    <row r="2">
      <c r="A2" s="2" t="inlineStr">
        <is>
          <t>Liaison mathematique entre l'activite de prospection, les leads et le chiffre d'affaires.</t>
        </is>
      </c>
    </row>
    <row r="3"/>
    <row r="4">
      <c r="A4" s="15" t="inlineStr">
        <is>
          <t>Canal</t>
        </is>
      </c>
      <c r="B4" s="15" t="inlineStr">
        <is>
          <t>Activite mensuelle</t>
        </is>
      </c>
      <c r="C4" s="15" t="inlineStr">
        <is>
          <t>Taux Prospect</t>
        </is>
      </c>
      <c r="D4" s="15" t="inlineStr">
        <is>
          <t>Taux Decouverte</t>
        </is>
      </c>
      <c r="E4" s="15" t="inlineStr">
        <is>
          <t>Taux Audit</t>
        </is>
      </c>
      <c r="F4" s="15" t="inlineStr">
        <is>
          <t>Taux Closing</t>
        </is>
      </c>
      <c r="G4" s="15" t="inlineStr">
        <is>
          <t>Offre par defaut</t>
        </is>
      </c>
      <c r="H4" s="15" t="inlineStr">
        <is>
          <t>Valeur mensuelle attendue</t>
        </is>
      </c>
    </row>
    <row r="5">
      <c r="A5" s="8" t="inlineStr">
        <is>
          <t>Page entreprise LinkedIn</t>
        </is>
      </c>
      <c r="B5" s="8" t="n">
        <v>8</v>
      </c>
      <c r="C5" s="20" t="n">
        <v>0.12</v>
      </c>
      <c r="D5" s="20" t="n">
        <v>0.35</v>
      </c>
      <c r="E5" s="20" t="n">
        <v>0.55</v>
      </c>
      <c r="F5" s="20" t="n">
        <v>0.3</v>
      </c>
      <c r="G5" s="8">
        <f>B5*C5*D5*E5</f>
        <v/>
      </c>
      <c r="H5" s="21">
        <f>G5*F5*Assumptions!$B$15</f>
        <v/>
      </c>
    </row>
    <row r="6">
      <c r="A6" s="8" t="inlineStr">
        <is>
          <t>Presse locale / communiques</t>
        </is>
      </c>
      <c r="B6" s="8" t="n">
        <v>2</v>
      </c>
      <c r="C6" s="20" t="n">
        <v>0.3</v>
      </c>
      <c r="D6" s="20" t="n">
        <v>0.5</v>
      </c>
      <c r="E6" s="20" t="n">
        <v>0.6</v>
      </c>
      <c r="F6" s="20" t="n">
        <v>0.35</v>
      </c>
      <c r="G6" s="8">
        <f>B6*C6*D6*E6</f>
        <v/>
      </c>
      <c r="H6" s="21">
        <f>G6*F6*Assumptions!$B$16</f>
        <v/>
      </c>
    </row>
    <row r="7">
      <c r="A7" s="8" t="inlineStr">
        <is>
          <t>Recommandations / Partenaires</t>
        </is>
      </c>
      <c r="B7" s="8" t="n">
        <v>4</v>
      </c>
      <c r="C7" s="20" t="n">
        <v>0.45</v>
      </c>
      <c r="D7" s="20" t="n">
        <v>0.6</v>
      </c>
      <c r="E7" s="20" t="n">
        <v>0.7</v>
      </c>
      <c r="F7" s="20" t="n">
        <v>0.5</v>
      </c>
      <c r="G7" s="8">
        <f>B7*C7*D7*E7</f>
        <v/>
      </c>
      <c r="H7" s="21">
        <f>G7*F7*Assumptions!$B$17</f>
        <v/>
      </c>
    </row>
    <row r="8">
      <c r="A8" s="8" t="inlineStr">
        <is>
          <t>Prospection directe</t>
        </is>
      </c>
      <c r="B8" s="8" t="n">
        <v>40</v>
      </c>
      <c r="C8" s="20" t="n">
        <v>0.04</v>
      </c>
      <c r="D8" s="20" t="n">
        <v>0.25</v>
      </c>
      <c r="E8" s="20" t="n">
        <v>0.4</v>
      </c>
      <c r="F8" s="20" t="n">
        <v>0.18</v>
      </c>
      <c r="G8" s="8">
        <f>B8*C8*D8*E8</f>
        <v/>
      </c>
      <c r="H8" s="21">
        <f>G8*F8*Assumptions!$B$15</f>
        <v/>
      </c>
    </row>
    <row r="9"/>
    <row r="10"/>
    <row r="11"/>
    <row r="12">
      <c r="A12" t="inlineStr">
        <is>
          <t>Regle d'or</t>
        </is>
      </c>
      <c r="B12" s="8" t="inlineStr">
        <is>
          <t>Le modele prevoir n'a de valeur que si les conversions refletent des discussions reelles. Ajustez les taux et l'activite mensuellement.</t>
        </is>
      </c>
    </row>
    <row r="13"/>
    <row r="14">
      <c r="A14" t="inlineStr">
        <is>
          <t>Valeur mensuelle estimee du pipeline</t>
        </is>
      </c>
      <c r="B14" s="4">
        <f>SUM(H5:H8)</f>
        <v/>
      </c>
    </row>
    <row r="15"/>
    <row r="16">
      <c r="A16" t="inlineStr">
        <is>
          <t>Canaux de communication actuels :</t>
        </is>
      </c>
      <c r="B16" s="8" t="inlineStr">
        <is>
          <t>LinkedIn : https://www.linkedin.com/company/opaystech/ | X : https://x.com/OpaysTech | Facebook : https://www.facebook.com/share/1HXhTPzytG/?mibextid=wwXlfr | Site : https://opays.io/</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10" customWidth="1" min="1" max="1"/>
    <col width="24" customWidth="1" min="2" max="2"/>
    <col width="48" customWidth="1" min="3" max="3"/>
    <col width="16" customWidth="1" min="4" max="4"/>
    <col width="20" customWidth="1" min="5" max="5"/>
    <col width="26" customWidth="1" min="6" max="6"/>
  </cols>
  <sheetData>
    <row r="1">
      <c r="A1" s="1" t="inlineStr">
        <is>
          <t>Plan d'action 90 jours</t>
        </is>
      </c>
    </row>
    <row r="2">
      <c r="A2" s="2" t="inlineStr">
        <is>
          <t>Feuille de route pour le premier trimestre afin d'aligner l'effort commercial et la livraison.</t>
        </is>
      </c>
    </row>
    <row r="3"/>
    <row r="4">
      <c r="A4" s="15" t="inlineStr">
        <is>
          <t>Semaine</t>
        </is>
      </c>
      <c r="B4" s="15" t="inlineStr">
        <is>
          <t>Objectif principal</t>
        </is>
      </c>
      <c r="C4" s="15" t="inlineStr">
        <is>
          <t>Actions cles</t>
        </is>
      </c>
      <c r="D4" s="15" t="inlineStr">
        <is>
          <t>Responsable</t>
        </is>
      </c>
      <c r="E4" s="15" t="inlineStr">
        <is>
          <t>Indicateur (KPI)</t>
        </is>
      </c>
      <c r="F4" s="15" t="inlineStr">
        <is>
          <t>Resultat attendu</t>
        </is>
      </c>
    </row>
    <row r="5">
      <c r="A5" s="8" t="inlineStr">
        <is>
          <t>S1</t>
        </is>
      </c>
      <c r="B5" s="8" t="inlineStr">
        <is>
          <t>Fixer la reference</t>
        </is>
      </c>
      <c r="C5" s="8" t="inlineStr">
        <is>
          <t>Revoir les offres, valider le pipeline, confirmer les roles, combler les ecarts documentaires</t>
        </is>
      </c>
      <c r="D5" s="8" t="inlineStr">
        <is>
          <t>Fenelon + Prince</t>
        </is>
      </c>
      <c r="E5" s="8" t="inlineStr">
        <is>
          <t>Modele et suivi approuves</t>
        </is>
      </c>
      <c r="F5" s="8" t="inlineStr">
        <is>
          <t>Base de reference operationnelle unique</t>
        </is>
      </c>
    </row>
    <row r="6">
      <c r="A6" s="8" t="inlineStr">
        <is>
          <t>S2</t>
        </is>
      </c>
      <c r="B6" s="8" t="inlineStr">
        <is>
          <t>Affiner l'offre</t>
        </is>
      </c>
      <c r="C6" s="8" t="inlineStr">
        <is>
          <t>Ajuster les prix, eliminer l'ambiguite de perimetre, finaliser les descriptions d'offres</t>
        </is>
      </c>
      <c r="D6" s="8" t="inlineStr">
        <is>
          <t>Prince + Fenelon</t>
        </is>
      </c>
      <c r="E6" s="8" t="inlineStr">
        <is>
          <t>3 offres formalisees</t>
        </is>
      </c>
      <c r="F6" s="8" t="inlineStr">
        <is>
          <t>Catalogue commercial clair et fige</t>
        </is>
      </c>
    </row>
    <row r="7">
      <c r="A7" s="8" t="inlineStr">
        <is>
          <t>S3</t>
        </is>
      </c>
      <c r="B7" s="8" t="inlineStr">
        <is>
          <t>Batir le pipeline</t>
        </is>
      </c>
      <c r="C7" s="8" t="inlineStr">
        <is>
          <t>Lancer la liste de prospection, cadence LinkedIn, communiques presse, contacts partenaires</t>
        </is>
      </c>
      <c r="D7" s="8" t="inlineStr">
        <is>
          <t>Prince</t>
        </is>
      </c>
      <c r="E7" s="8" t="inlineStr">
        <is>
          <t>20 prospects qualifies</t>
        </is>
      </c>
      <c r="F7" s="8" t="inlineStr">
        <is>
          <t>Liste de pipeline active</t>
        </is>
      </c>
    </row>
    <row r="8">
      <c r="A8" s="8" t="inlineStr">
        <is>
          <t>S4</t>
        </is>
      </c>
      <c r="B8" s="8" t="inlineStr">
        <is>
          <t>Rigueur de livraison</t>
        </is>
      </c>
      <c r="C8" s="8" t="inlineStr">
        <is>
          <t>Mettre en place les SOPs, attribuer les roles de livraison, lancer la revue hebdo</t>
        </is>
      </c>
      <c r="D8" s="8" t="inlineStr">
        <is>
          <t>Responsable Livraison</t>
        </is>
      </c>
      <c r="E8" s="8" t="inlineStr">
        <is>
          <t>1ere livraison sur checklist</t>
        </is>
      </c>
      <c r="F8" s="8" t="inlineStr">
        <is>
          <t>Systeme de livraison etabli</t>
        </is>
      </c>
    </row>
    <row r="9">
      <c r="A9" s="8" t="inlineStr">
        <is>
          <t>S5</t>
        </is>
      </c>
      <c r="B9" s="8" t="inlineStr">
        <is>
          <t>Preuves de valeur</t>
        </is>
      </c>
      <c r="C9" s="8" t="inlineStr">
        <is>
          <t>Rediger une etude de cas, un temoignage client, des mesures avant/apres</t>
        </is>
      </c>
      <c r="D9" s="8" t="inlineStr">
        <is>
          <t>Fenelon + R&amp;D</t>
        </is>
      </c>
      <c r="E9" s="8" t="inlineStr">
        <is>
          <t>1 actif de preuve valide</t>
        </is>
      </c>
      <c r="F9" s="8" t="inlineStr">
        <is>
          <t>Outil de credibilite commerciale</t>
        </is>
      </c>
    </row>
    <row r="10">
      <c r="A10" s="8" t="inlineStr">
        <is>
          <t>S6</t>
        </is>
      </c>
      <c r="B10" s="8" t="inlineStr">
        <is>
          <t>Conversion</t>
        </is>
      </c>
      <c r="C10" s="8" t="inlineStr">
        <is>
          <t>Transformer les audits en sprints et les sprints en propositions d'implementation</t>
        </is>
      </c>
      <c r="D10" s="8" t="inlineStr">
        <is>
          <t>Prince</t>
        </is>
      </c>
      <c r="E10" s="8" t="inlineStr">
        <is>
          <t>2 proposals sent</t>
        </is>
      </c>
      <c r="F10" s="8" t="inlineStr">
        <is>
          <t>Dynamique commerciale active</t>
        </is>
      </c>
    </row>
    <row r="11">
      <c r="A11" s="8" t="inlineStr">
        <is>
          <t>S7</t>
        </is>
      </c>
      <c r="B11" s="8" t="inlineStr">
        <is>
          <t>Controle de capacite</t>
        </is>
      </c>
      <c r="C11" s="8" t="inlineStr">
        <is>
          <t>Auditer la charge par rapport a la capacite, decider du recours a des prestataires</t>
        </is>
      </c>
      <c r="D11" s="8" t="inlineStr">
        <is>
          <t>Fenelon + Ops</t>
        </is>
      </c>
      <c r="E11" s="8" t="inlineStr">
        <is>
          <t>Indicateurs de capacite mis a jour</t>
        </is>
      </c>
      <c r="F11" s="8" t="inlineStr">
        <is>
          <t>Gestion saine de la charge</t>
        </is>
      </c>
    </row>
    <row r="12">
      <c r="A12" s="8" t="inlineStr">
        <is>
          <t>S8</t>
        </is>
      </c>
      <c r="B12" s="8" t="inlineStr">
        <is>
          <t>Dossier Investisseur v1</t>
        </is>
      </c>
      <c r="C12" s="8" t="inlineStr">
        <is>
          <t>Rediger la structure du pitch, mettre a jour les chiffres, valider les risques</t>
        </is>
      </c>
      <c r="D12" s="8" t="inlineStr">
        <is>
          <t>Fenelon</t>
        </is>
      </c>
      <c r="E12" s="8" t="inlineStr">
        <is>
          <t>Structure de pitch prete</t>
        </is>
      </c>
      <c r="F12" s="8" t="inlineStr">
        <is>
          <t>Narratif investisseur pret</t>
        </is>
      </c>
    </row>
    <row r="13">
      <c r="A13" s="8" t="inlineStr">
        <is>
          <t>S9</t>
        </is>
      </c>
      <c r="B13" s="8" t="inlineStr">
        <is>
          <t>Preuve de repetition</t>
        </is>
      </c>
      <c r="C13" s="8" t="inlineStr">
        <is>
          <t>Repeter un deploiement reussi sur un second client ou prospect</t>
        </is>
      </c>
      <c r="D13" s="8" t="inlineStr">
        <is>
          <t>Responsable Livraison</t>
        </is>
      </c>
      <c r="E13" s="8" t="inlineStr">
        <is>
          <t>2eme etude de cas validee</t>
        </is>
      </c>
      <c r="F13" s="8" t="inlineStr">
        <is>
          <t>Preuve de repetabilite etablie</t>
        </is>
      </c>
    </row>
    <row r="14">
      <c r="A14" s="8" t="inlineStr">
        <is>
          <t>S10</t>
        </is>
      </c>
      <c r="B14" s="8" t="inlineStr">
        <is>
          <t>Rigueur financiere</t>
        </is>
      </c>
      <c r="C14" s="8" t="inlineStr">
        <is>
          <t>Suivi des factures, depenses, runway, TVA et IS</t>
        </is>
      </c>
      <c r="D14" s="8" t="inlineStr">
        <is>
          <t>Ops + DG</t>
        </is>
      </c>
      <c r="E14" s="8" t="inlineStr">
        <is>
          <t>Suivi de tresorerie a jour</t>
        </is>
      </c>
      <c r="F14" s="8" t="inlineStr">
        <is>
          <t>Controle financier total</t>
        </is>
      </c>
    </row>
    <row r="15">
      <c r="A15" s="8" t="inlineStr">
        <is>
          <t>S11</t>
        </is>
      </c>
      <c r="B15" s="8" t="inlineStr">
        <is>
          <t>Semaine de decision</t>
        </is>
      </c>
      <c r="C15" s="8" t="inlineStr">
        <is>
          <t>Confirmer ce qu'il faut standardiser, arreter, deleguer ou developper</t>
        </is>
      </c>
      <c r="D15" s="8" t="inlineStr">
        <is>
          <t>Fenelon</t>
        </is>
      </c>
      <c r="E15" s="8" t="inlineStr">
        <is>
          <t>Journal des decisions a jour</t>
        </is>
      </c>
      <c r="F15" s="8" t="inlineStr">
        <is>
          <t>Priorites strategiques nettes</t>
        </is>
      </c>
    </row>
    <row r="16">
      <c r="A16" s="8" t="inlineStr">
        <is>
          <t>S12</t>
        </is>
      </c>
      <c r="B16" s="8" t="inlineStr">
        <is>
          <t>Revue trimestrielle</t>
        </is>
      </c>
      <c r="C16" s="8" t="inlineStr">
        <is>
          <t>Revue des KPIs, de la strategie, du mix d'offres et preparation du trimestre suivant</t>
        </is>
      </c>
      <c r="D16" s="8" t="inlineStr">
        <is>
          <t>Fenelon + Equipe</t>
        </is>
      </c>
      <c r="E16" s="8" t="inlineStr">
        <is>
          <t>Rapport trimestriel finalise</t>
        </is>
      </c>
      <c r="F16" s="8" t="inlineStr">
        <is>
          <t>Plan operationnel du trimestre suivant</t>
        </is>
      </c>
    </row>
    <row r="17"/>
    <row r="18">
      <c r="A18" t="inlineStr">
        <is>
          <t>Regle d'or</t>
        </is>
      </c>
      <c r="B18" s="8" t="inlineStr">
        <is>
          <t>Le trimestre est reussi s'il accroit la qualite du pipeline, la tresorerie et la repetabilite, plutot que la simple activite.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20" customWidth="1" min="1" max="1"/>
    <col width="54" customWidth="1" min="2" max="2"/>
    <col width="54" customWidth="1" min="3" max="3"/>
  </cols>
  <sheetData>
    <row r="1">
      <c r="A1" s="1" t="inlineStr">
        <is>
          <t>Structure du Pitch Deck</t>
        </is>
      </c>
    </row>
    <row r="2">
      <c r="A2" s="2" t="inlineStr">
        <is>
          <t>Planification des 10 slides cles de presentation aux investisseurs et partenaires.</t>
        </is>
      </c>
    </row>
    <row r="3"/>
    <row r="4">
      <c r="A4" s="15" t="inlineStr">
        <is>
          <t>Slide</t>
        </is>
      </c>
      <c r="B4" s="15" t="inlineStr">
        <is>
          <t>Message cle</t>
        </is>
      </c>
      <c r="C4" s="15" t="inlineStr">
        <is>
          <t>Preuve / Contenu detaille</t>
        </is>
      </c>
    </row>
    <row r="5">
      <c r="A5" s="8" t="inlineStr">
        <is>
          <t>1. Titre</t>
        </is>
      </c>
      <c r="B5" s="8" t="inlineStr">
        <is>
          <t>Opays Tech - L'ingenierie de l'efficience au service des operations et de l'adoption de l'IA.</t>
        </is>
      </c>
      <c r="C5" s="8" t="inlineStr">
        <is>
          <t>Marque, logo et positionnement en une phrase</t>
        </is>
      </c>
    </row>
    <row r="6">
      <c r="A6" s="8" t="inlineStr">
        <is>
          <t>2. Probleme</t>
        </is>
      </c>
      <c r="B6" s="8" t="inlineStr">
        <is>
          <t>Les organisations perdent du temps, de la marge et de la confiance a cause de flux de travail disperses.</t>
        </is>
      </c>
      <c r="C6" s="8" t="inlineStr">
        <is>
          <t>Points de friction, exemples et contexte local</t>
        </is>
      </c>
    </row>
    <row r="7">
      <c r="A7" s="8" t="inlineStr">
        <is>
          <t>3. Solution</t>
        </is>
      </c>
      <c r="B7" s="8" t="inlineStr">
        <is>
          <t>Forge execute et rationalise ; Sovereign batit l'autonomie et la resilience strategique.</t>
        </is>
      </c>
      <c r="C7" s="8" t="inlineStr">
        <is>
          <t>Presentation de notre modele hybride</t>
        </is>
      </c>
    </row>
    <row r="8">
      <c r="A8" s="8" t="inlineStr">
        <is>
          <t>4. Pourquoi maintenant</t>
        </is>
      </c>
      <c r="B8" s="8" t="inlineStr">
        <is>
          <t>L'adoption de l'IA est desordonnee ; les clients exigent de l'execution pratique et mesurable.</t>
        </is>
      </c>
      <c r="C8" s="8" t="inlineStr">
        <is>
          <t>Opportunite de marche</t>
        </is>
      </c>
    </row>
    <row r="9">
      <c r="A9" s="8" t="inlineStr">
        <is>
          <t>5. Offres &amp; Marges</t>
        </is>
      </c>
      <c r="B9" s="8" t="inlineStr">
        <is>
          <t>Audit, sprint, projet d'implementation, abonnements (retainer) et dossiers.</t>
        </is>
      </c>
      <c r="C9" s="8" t="inlineStr">
        <is>
          <t>Echelle d'offres et logique de prix productises</t>
        </is>
      </c>
    </row>
    <row r="10">
      <c r="A10" s="8" t="inlineStr">
        <is>
          <t>6. Traction &amp; Canaux</t>
        </is>
      </c>
      <c r="B10" s="8" t="inlineStr">
        <is>
          <t>Lancement initie ; signaux d'interet reels sur LinkedIn et les canaux locaux.</t>
        </is>
      </c>
      <c r="C10" s="8" t="inlineStr">
        <is>
          <t>LinkedIn, presse locale et dynamique de pipeline</t>
        </is>
      </c>
    </row>
    <row r="11">
      <c r="A11" s="8" t="inlineStr">
        <is>
          <t>7. Modele financier</t>
        </is>
      </c>
      <c r="B11" s="8" t="inlineStr">
        <is>
          <t>Des services a haute marge aujourd'hui pour financer la R&amp;D de demain.</t>
        </is>
      </c>
      <c r="C11" s="8" t="inlineStr">
        <is>
          <t>Indicateurs financiers issus du previsionnel</t>
        </is>
      </c>
    </row>
    <row r="12">
      <c r="A12" s="8" t="inlineStr">
        <is>
          <t>8. Modele operationnel</t>
        </is>
      </c>
      <c r="B12" s="8" t="inlineStr">
        <is>
          <t>Une execution rigoureuse appuyee par des SOPs, une cadence fixe et un controle de capacite.</t>
        </is>
      </c>
      <c r="C12" s="8" t="inlineStr">
        <is>
          <t>Integration de notre systeme interne</t>
        </is>
      </c>
    </row>
    <row r="13">
      <c r="A13" s="8" t="inlineStr">
        <is>
          <t>9. Risques &amp; Reponses</t>
        </is>
      </c>
      <c r="B13" s="8" t="inlineStr">
        <is>
          <t>Gestion de la dependance au fondateur, de la derive de perimetre et du rythme de conversion.</t>
        </is>
      </c>
      <c r="C13" s="8" t="inlineStr">
        <is>
          <t>Synthese de l'onglet Risques_QA</t>
        </is>
      </c>
    </row>
    <row r="14">
      <c r="A14" s="8" t="inlineStr">
        <is>
          <t>10. Demande &amp; Allocation</t>
        </is>
      </c>
      <c r="B14" s="8" t="inlineStr">
        <is>
          <t>Financement Seed pour le developpement commercial, la livraison, la conformite et le runway.</t>
        </is>
      </c>
      <c r="C14" s="8" t="inlineStr">
        <is>
          <t>Synthese de l'onglet Financement</t>
        </is>
      </c>
    </row>
    <row r="15"/>
    <row r="16"/>
    <row r="17">
      <c r="A17" t="inlineStr">
        <is>
          <t>Regle d'or</t>
        </is>
      </c>
      <c r="B17" s="8" t="inlineStr">
        <is>
          <t>Chaque diapositive doit repondre de maniere concise a une question essentielle d'un investisseur. Evitez de surcharger les visuels.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28" customWidth="1" min="1" max="1"/>
    <col width="24" customWidth="1" min="2" max="2"/>
    <col width="56" customWidth="1" min="3" max="3"/>
    <col width="28" customWidth="1" min="4" max="4"/>
  </cols>
  <sheetData>
    <row r="1">
      <c r="A1" s="1" t="inlineStr">
        <is>
          <t>Dossier Questions / Reponses</t>
        </is>
      </c>
    </row>
    <row r="2">
      <c r="A2" s="2" t="inlineStr">
        <is>
          <t>Questions sensibles frequemment posees par les comites de selection ou investisseurs, avec reponses directes.</t>
        </is>
      </c>
    </row>
    <row r="3"/>
    <row r="4">
      <c r="A4" s="15" t="inlineStr">
        <is>
          <t>Question</t>
        </is>
      </c>
      <c r="B4" s="15" t="inlineStr">
        <is>
          <t>Pourquoi cela compte</t>
        </is>
      </c>
      <c r="C4" s="15" t="inlineStr">
        <is>
          <t>Reponse</t>
        </is>
      </c>
      <c r="D4" s="15" t="inlineStr">
        <is>
          <t>Preuve / Document associe</t>
        </is>
      </c>
    </row>
    <row r="5">
      <c r="A5" s="8" t="inlineStr">
        <is>
          <t>Pourquoi Opays maintenant ?</t>
        </is>
      </c>
      <c r="B5" s="8" t="inlineStr">
        <is>
          <t>Timing et urgence</t>
        </is>
      </c>
      <c r="C5" s="8" t="inlineStr">
        <is>
          <t>Parce que le lancement est effectif, le pipeline de prospects existe et l'entreprise doit desormais standardiser son modele d'execution.</t>
        </is>
      </c>
      <c r="D5" s="8" t="inlineStr">
        <is>
          <t>Page LinkedIn, presse locale, classeur</t>
        </is>
      </c>
    </row>
    <row r="6">
      <c r="A6" s="8" t="inlineStr">
        <is>
          <t>Pourquoi ce modele commercial ?</t>
        </is>
      </c>
      <c r="B6" s="8" t="inlineStr">
        <is>
          <t>Logique de marge</t>
        </is>
      </c>
      <c r="C6" s="8" t="inlineStr">
        <is>
          <t>Les services generent immediatement la tresorerie, tandis que la standardisation des modules d'agents et l'IP creent de la valeur a terme.</t>
        </is>
      </c>
      <c r="D6" s="8" t="inlineStr">
        <is>
          <t>Onglets Offres, P&amp;L, Scenarios</t>
        </is>
      </c>
    </row>
    <row r="7">
      <c r="A7" s="8" t="inlineStr">
        <is>
          <t>Comment evitez-vous le piege des agences de services ?</t>
        </is>
      </c>
      <c r="B7" s="8" t="inlineStr">
        <is>
          <t>Positionnement distinct</t>
        </is>
      </c>
      <c r="C7" s="8" t="inlineStr">
        <is>
          <t>En productisant nos offres, en appliquant des SOPs et en vendant des resultats operationnels au forfait plutot que des heures.</t>
        </is>
      </c>
      <c r="D7" s="8" t="inlineStr">
        <is>
          <t>Onglets Offres, Livraison, SOPs</t>
        </is>
      </c>
    </row>
    <row r="8">
      <c r="A8" s="8" t="inlineStr">
        <is>
          <t>Qui gere reellement l'entreprise ?</t>
        </is>
      </c>
      <c r="B8" s="8" t="inlineStr">
        <is>
          <t>Risque cle-fondateur</t>
        </is>
      </c>
      <c r="C8" s="8" t="inlineStr">
        <is>
          <t>Fenelon dirige la vision et la R&amp;D ; Prince pilote le commercial ; Patricia et Zaina soutiennent la gestion et les operations.</t>
        </is>
      </c>
      <c r="D8" s="8" t="inlineStr">
        <is>
          <t>Onglet Equipe</t>
        </is>
      </c>
    </row>
    <row r="9">
      <c r="A9" s="8" t="inlineStr">
        <is>
          <t>Que faire si le pipeline ralentit ?</t>
        </is>
      </c>
      <c r="B9" s="8" t="inlineStr">
        <is>
          <t>Risque de revenus</t>
        </is>
      </c>
      <c r="C9" s="8" t="inlineStr">
        <is>
          <t>Le modele repose sur plusieurs canaux et prend des conversions tres prudentes. Il ne depend pas d'une source unique.</t>
        </is>
      </c>
      <c r="D9" s="8" t="inlineStr">
        <is>
          <t>Onglet Pipeline</t>
        </is>
      </c>
    </row>
    <row r="10">
      <c r="A10" s="8" t="inlineStr">
        <is>
          <t>Comment les agents IA creent-ils de la valeur ?</t>
        </is>
      </c>
      <c r="B10" s="8" t="inlineStr">
        <is>
          <t>Pertinence technique</t>
        </is>
      </c>
      <c r="C10" s="8" t="inlineStr">
        <is>
          <t>Ils reduisent la friction de notre delivery et constituent nos propres actifs cognitifs (R&amp;D).</t>
        </is>
      </c>
      <c r="D10" s="8" t="inlineStr">
        <is>
          <t>Guide AGENTS, Operations, SOPs</t>
        </is>
      </c>
    </row>
    <row r="11">
      <c r="A11" s="8" t="inlineStr">
        <is>
          <t>Pourquoi le ZAR ?</t>
        </is>
      </c>
      <c r="B11" s="8" t="inlineStr">
        <is>
          <t>Realite du marche</t>
        </is>
      </c>
      <c r="C11" s="8" t="inlineStr">
        <is>
          <t>Parce que nos operations principales se situent dans la zone locale. Les previsions doivent etre realistes et sinceres.</t>
        </is>
      </c>
      <c r="D11" s="8" t="inlineStr">
        <is>
          <t>Hypotheses generales</t>
        </is>
      </c>
    </row>
    <row r="12">
      <c r="A12" s="8" t="inlineStr">
        <is>
          <t>A quoi servira le financement Seed ?</t>
        </is>
      </c>
      <c r="B12" s="8" t="inlineStr">
        <is>
          <t>Utilisation des fonds</t>
        </is>
      </c>
      <c r="C12" s="8" t="inlineStr">
        <is>
          <t>A financer notre force commerciale locale, la capacite technique, la conformite administrative et notre roulement.</t>
        </is>
      </c>
      <c r="D12" s="8" t="inlineStr">
        <is>
          <t>Onglet Financement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2026-05-29T18:47:12Z</dcterms:created>
  <dcterms:modified xsi:type="dcterms:W3CDTF">2026-05-29T18:47:13Z</dcterms:modified>
</cp:coreProperties>
</file>